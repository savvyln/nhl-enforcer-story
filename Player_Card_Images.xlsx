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ards" sheetId="1" r:id="rId5"/>
    <sheet name="Fight_Cards" sheetId="2" r:id="rId6"/>
    <sheet name="Notes" sheetId="3" r:id="rId7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<sst xmlns="http://schemas.openxmlformats.org/spreadsheetml/2006/main" uniqueCount="260">
  <si>
    <t>Card ID</t>
  </si>
  <si>
    <t>Player</t>
  </si>
  <si>
    <t>Season</t>
  </si>
  <si>
    <t>Team</t>
  </si>
  <si>
    <t>Position</t>
  </si>
  <si>
    <t>Jersey Number</t>
  </si>
  <si>
    <t>PIM* (5-season playoff total)</t>
  </si>
  <si>
    <t>Card Image URL (.png)</t>
  </si>
  <si>
    <t>Alt Text (optional)</t>
  </si>
  <si>
    <t>Image Status</t>
  </si>
  <si>
    <t>Fights Using Card</t>
  </si>
  <si>
    <t>Notes</t>
  </si>
  <si>
    <t>2021-22_CAR_Steven-Lorentz</t>
  </si>
  <si>
    <t>Steven Lorentz</t>
  </si>
  <si>
    <t>2021-22</t>
  </si>
  <si>
    <t>CAR</t>
  </si>
  <si>
    <t>C</t>
  </si>
  <si>
    <t>images/2021-22_CAR_Steven-Lorentz.png</t>
  </si>
  <si>
    <t>Linked</t>
  </si>
  <si>
    <t>2021-22_CGY_Matthew-Tkachuk</t>
  </si>
  <si>
    <t>Matthew Tkachuk</t>
  </si>
  <si>
    <t>CGY</t>
  </si>
  <si>
    <t>L</t>
  </si>
  <si>
    <t>images/2021-22_CGY_Matthew-Tkachuk.png</t>
  </si>
  <si>
    <t>2021-22_CGY_Rasmus-Andersson</t>
  </si>
  <si>
    <t>Rasmus Andersson</t>
  </si>
  <si>
    <t>D</t>
  </si>
  <si>
    <t>images/2021-22_CGY_Rasmus-Andersson.png</t>
  </si>
  <si>
    <t>2021-22_COL_Logan-O-Connor</t>
  </si>
  <si>
    <t>Logan O'Connor</t>
  </si>
  <si>
    <t>COL</t>
  </si>
  <si>
    <t>R</t>
  </si>
  <si>
    <t>images/2021-22_COL_Logan-O-Connor.png</t>
  </si>
  <si>
    <t>2021-22_DAL_John-Klingberg</t>
  </si>
  <si>
    <t>John Klingberg</t>
  </si>
  <si>
    <t>DAL</t>
  </si>
  <si>
    <t>images/2021-22_DAL_John-Klingberg.png</t>
  </si>
  <si>
    <t>2021-22_DAL_Michael-Raffl</t>
  </si>
  <si>
    <t>Michael Raffl</t>
  </si>
  <si>
    <t>images/2021-22_DAL_Michael-Raffl.png</t>
  </si>
  <si>
    <t>2021-22_FLA_Aaron-Ekblad</t>
  </si>
  <si>
    <t>Aaron Ekblad</t>
  </si>
  <si>
    <t>FLA</t>
  </si>
  <si>
    <t>images/2021-22_FLA_Aaron-Ekblad.png</t>
  </si>
  <si>
    <t>2021-22_NYR_Alexis-Lafreniere</t>
  </si>
  <si>
    <t>Alexis Lafrenière</t>
  </si>
  <si>
    <t>NYR</t>
  </si>
  <si>
    <t>images/2021-22_NYR_Alexis-Lafreniere.png</t>
  </si>
  <si>
    <t>2021-22_NYR_Frank-Vatrano</t>
  </si>
  <si>
    <t>Frank Vatrano</t>
  </si>
  <si>
    <t>images/2021-22_NYR_Frank-Vatrano.png</t>
  </si>
  <si>
    <t>2021-22_NYR_Jacob-Trouba</t>
  </si>
  <si>
    <t>Jacob Trouba</t>
  </si>
  <si>
    <t>images/2021-22_NYR_Jacob-Trouba.png</t>
  </si>
  <si>
    <t>2021-22_TBL_Brandon-Hagel</t>
  </si>
  <si>
    <t>Brandon Hagel</t>
  </si>
  <si>
    <t>TBL</t>
  </si>
  <si>
    <t>images/2021-22_TBL_Brandon-Hagel.png</t>
  </si>
  <si>
    <t>2021-22_TBL_Jan-Rutta</t>
  </si>
  <si>
    <t>Jan Rutta</t>
  </si>
  <si>
    <t>images/2021-22_TBL_Jan-Rutta.png</t>
  </si>
  <si>
    <t>2021-22_TBL_Ross-Colton</t>
  </si>
  <si>
    <t>Ross Colton</t>
  </si>
  <si>
    <t>images/2021-22_TBL_Ross-Colton.png</t>
  </si>
  <si>
    <t>2021-22_TBL_Steven-Stamkos</t>
  </si>
  <si>
    <t>Steven Stamkos</t>
  </si>
  <si>
    <t>images/2021-22_TBL_Steven-Stamkos.png</t>
  </si>
  <si>
    <t>2021-22_TOR_Morgan-Rielly</t>
  </si>
  <si>
    <t>Morgan Rielly</t>
  </si>
  <si>
    <t>TOR</t>
  </si>
  <si>
    <t>images/2021-22_TOR_Morgan-Rielly.png</t>
  </si>
  <si>
    <t>2021-22_WSH_Anthony-Mantha</t>
  </si>
  <si>
    <t>Anthony Mantha</t>
  </si>
  <si>
    <t>WSH</t>
  </si>
  <si>
    <t>images/2021-22_WSH_Anthony-Mantha.png</t>
  </si>
  <si>
    <t>2022-23_BOS_Derek-Forbort</t>
  </si>
  <si>
    <t>Derek Forbort</t>
  </si>
  <si>
    <t>2022-23</t>
  </si>
  <si>
    <t>BOS</t>
  </si>
  <si>
    <t>images/2022-23_BOS_Derek-Forbort.png</t>
  </si>
  <si>
    <t>2022-23_CAR_Stefan-Noesen</t>
  </si>
  <si>
    <t>Stefan Noesen</t>
  </si>
  <si>
    <t>images/2022-23_CAR_Stefan-Noesen.png</t>
  </si>
  <si>
    <t>2022-23_EDM_Brett-Kulak</t>
  </si>
  <si>
    <t>Brett Kulak</t>
  </si>
  <si>
    <t>EDM</t>
  </si>
  <si>
    <t>images/2022-23_EDM_Brett-Kulak.png</t>
  </si>
  <si>
    <t>2022-23_EDM_Darnell-Nurse</t>
  </si>
  <si>
    <t>Darnell Nurse</t>
  </si>
  <si>
    <t>images/2022-23_EDM_Darnell-Nurse.png</t>
  </si>
  <si>
    <t>2022-23_EDM_Klim-Kostin</t>
  </si>
  <si>
    <t>Klim Kostin</t>
  </si>
  <si>
    <t>images/2022-23_EDM_Klim-Kostin.png</t>
  </si>
  <si>
    <t>2022-23_FLA_Brandon-Montour</t>
  </si>
  <si>
    <t>Brandon Montour</t>
  </si>
  <si>
    <t>images/2022-23_FLA_Brandon-Montour.png</t>
  </si>
  <si>
    <t>2022-23_NJD_Erik-Haula</t>
  </si>
  <si>
    <t>Erik Haula</t>
  </si>
  <si>
    <t>NJD</t>
  </si>
  <si>
    <t>images/2022-23_NJD_Erik-Haula.png</t>
  </si>
  <si>
    <t>2022-23_NJD_Kevin-Bahl</t>
  </si>
  <si>
    <t>Kevin Bahl</t>
  </si>
  <si>
    <t>images/2022-23_NJD_Kevin-Bahl.png</t>
  </si>
  <si>
    <t>2022-23_NJD_Michael-McLeod</t>
  </si>
  <si>
    <t>Michael McLeod</t>
  </si>
  <si>
    <t>images/2022-23_NJD_Michael-McLeod.png</t>
  </si>
  <si>
    <t>2022-23_NYR_Barclay-Goodrow</t>
  </si>
  <si>
    <t>Barclay Goodrow</t>
  </si>
  <si>
    <t>images/2022-23_NYR_Barclay-Goodrow.png</t>
  </si>
  <si>
    <t>2022-23_NYR_Braden-Schneider</t>
  </si>
  <si>
    <t>Braden Schneider</t>
  </si>
  <si>
    <t>images/2022-23_NYR_Braden-Schneider.png</t>
  </si>
  <si>
    <t>2022-23_TBL_Nikita-Kucherov</t>
  </si>
  <si>
    <t>Nikita Kucherov</t>
  </si>
  <si>
    <t>images/2022-23_TBL_Nikita-Kucherov.png</t>
  </si>
  <si>
    <t>2022-23_TBL_Steven-Stamkos</t>
  </si>
  <si>
    <t>images/2022-23_TBL_Steven-Stamkos.png</t>
  </si>
  <si>
    <t>2022-23_TOR_Auston-Matthews</t>
  </si>
  <si>
    <t>Auston Matthews</t>
  </si>
  <si>
    <t>images/2022-23_TOR_Auston-Matthews.png</t>
  </si>
  <si>
    <t>2022-23_TOR_Ryan-O-Reilly</t>
  </si>
  <si>
    <t>Ryan O'Reilly</t>
  </si>
  <si>
    <t>images/2022-23_TOR_Ryan-O-Reilly.png</t>
  </si>
  <si>
    <t>2022-23_VGK_Brett-Howden</t>
  </si>
  <si>
    <t>Brett Howden</t>
  </si>
  <si>
    <t>VGK</t>
  </si>
  <si>
    <t>images/2022-23_VGK_Brett-Howden.png</t>
  </si>
  <si>
    <t>2022-23_VGK_Keegan-Kolesar</t>
  </si>
  <si>
    <t>Keegan Kolesar</t>
  </si>
  <si>
    <t>images/2022-23_VGK_Keegan-Kolesar.png</t>
  </si>
  <si>
    <t>2022-23_VGK_Nicolas-Hague</t>
  </si>
  <si>
    <t>Nicolas Hague</t>
  </si>
  <si>
    <t>images/2022-23_VGK_Nicolas-Hague.png</t>
  </si>
  <si>
    <t>2022-23_VGK_Zach-Whitecloud</t>
  </si>
  <si>
    <t>Zach Whitecloud</t>
  </si>
  <si>
    <t>images/2022-23_VGK_Zach-Whitecloud.png</t>
  </si>
  <si>
    <t>2022-23_WPG_Brenden-Dillon</t>
  </si>
  <si>
    <t>Brenden Dillon</t>
  </si>
  <si>
    <t>WPG</t>
  </si>
  <si>
    <t>images/2022-23_WPG_Brenden-Dillon.png</t>
  </si>
  <si>
    <t>2023-24_BOS_David-Pastrnak</t>
  </si>
  <si>
    <t>David Pastrnak</t>
  </si>
  <si>
    <t>2023-24</t>
  </si>
  <si>
    <t>images/2023-24_BOS_David-Pastrnak.png</t>
  </si>
  <si>
    <t>2023-24_CAR_Stefan-Noesen</t>
  </si>
  <si>
    <t>images/2023-24_CAR_Stefan-Noesen.png</t>
  </si>
  <si>
    <t>2023-24_COL_Miles-Wood</t>
  </si>
  <si>
    <t>Miles Wood</t>
  </si>
  <si>
    <t>images/2023-24_COL_Miles-Wood.png</t>
  </si>
  <si>
    <t>2023-24_EDM_Evander-Kane</t>
  </si>
  <si>
    <t>Evander Kane</t>
  </si>
  <si>
    <t>images/2023-24_EDM_Evander-Kane.png</t>
  </si>
  <si>
    <t>2023-24_FLA_Matthew-Tkachuk</t>
  </si>
  <si>
    <t>images/2023-24_FLA_Matthew-Tkachuk.png</t>
  </si>
  <si>
    <t>2023-24_LAK_Andreas-Englund</t>
  </si>
  <si>
    <t>Andreas Englund</t>
  </si>
  <si>
    <t>LAK</t>
  </si>
  <si>
    <t>images/2023-24_LAK_Andreas-Englund.png</t>
  </si>
  <si>
    <t>2023-24_NYI_Kyle-MacLean</t>
  </si>
  <si>
    <t>Kyle MacLean</t>
  </si>
  <si>
    <t>NYI</t>
  </si>
  <si>
    <t>images/2023-24_NYI_Kyle-MacLean.png</t>
  </si>
  <si>
    <t>2023-24_WPG_Adam-Lowry</t>
  </si>
  <si>
    <t>Adam Lowry</t>
  </si>
  <si>
    <t>images/2023-24_WPG_Adam-Lowry.png</t>
  </si>
  <si>
    <t>2024-25_EDM_Darnell-Nurse</t>
  </si>
  <si>
    <t>2024-25</t>
  </si>
  <si>
    <t>images/2024-25_EDM_Darnell-Nurse.png</t>
  </si>
  <si>
    <t>2024-25_EDM_Trent-Frederic</t>
  </si>
  <si>
    <t>Trent Frederic</t>
  </si>
  <si>
    <t>images/2024-25_EDM_Trent-Frederic.png</t>
  </si>
  <si>
    <t>2024-25_FLA_Jonah-Gadjovich</t>
  </si>
  <si>
    <t>Jonah Gadjovich</t>
  </si>
  <si>
    <t>images/2024-25_FLA_Jonah-Gadjovich.png</t>
  </si>
  <si>
    <t>2024-25_VGK_Nicolas-Hague</t>
  </si>
  <si>
    <t>images/2024-25_VGK_Nicolas-Hague.png</t>
  </si>
  <si>
    <t>2025-26_ANA_Jeff-Viel</t>
  </si>
  <si>
    <t>Jeff Viel</t>
  </si>
  <si>
    <t>2025-26</t>
  </si>
  <si>
    <t>ANA</t>
  </si>
  <si>
    <t>images/2025-26_ANA_Jeff-Viel.png</t>
  </si>
  <si>
    <t>2025-26_BOS_Mark-Kastelic</t>
  </si>
  <si>
    <t>Mark Kastelic</t>
  </si>
  <si>
    <t>images/2025-26_BOS_Mark-Kastelic.png</t>
  </si>
  <si>
    <t>2025-26_BUF_Logan-Stanley</t>
  </si>
  <si>
    <t>Logan Stanley</t>
  </si>
  <si>
    <t>BUF</t>
  </si>
  <si>
    <t>images/2025-26_BUF_Logan-Stanley.png</t>
  </si>
  <si>
    <t>2025-26_CAR_Jordan-Staal</t>
  </si>
  <si>
    <t>Jordan Staal</t>
  </si>
  <si>
    <t>images/2025-26_CAR_Jordan-Staal.png</t>
  </si>
  <si>
    <t>2025-26_EDM_Vasily-Podkolzin</t>
  </si>
  <si>
    <t>Vasily Podkolzin</t>
  </si>
  <si>
    <t>images/2025-26_EDM_Vasily-Podkolzin.png</t>
  </si>
  <si>
    <t>2025-26_MTL_Juraj-Slafkovsky</t>
  </si>
  <si>
    <t>Juraj Slafkovský</t>
  </si>
  <si>
    <t>MTL</t>
  </si>
  <si>
    <t>images/2025-26_MTL_Juraj-Slafkovsky.png</t>
  </si>
  <si>
    <t>2025-26_OTT_Brady-Tkachuk</t>
  </si>
  <si>
    <t>Brady Tkachuk</t>
  </si>
  <si>
    <t>OTT</t>
  </si>
  <si>
    <t>images/2025-26_OTT_Brady-Tkachuk.png</t>
  </si>
  <si>
    <t>2025-26_TBL_Brandon-Hagel</t>
  </si>
  <si>
    <t>images/2025-26_TBL_Brandon-Hagel.png</t>
  </si>
  <si>
    <t>Fight ID</t>
  </si>
  <si>
    <t>Date</t>
  </si>
  <si>
    <t>Player 1</t>
  </si>
  <si>
    <t>Team 1</t>
  </si>
  <si>
    <t>Card ID 1</t>
  </si>
  <si>
    <t>Card 1 Status</t>
  </si>
  <si>
    <t>Player 2</t>
  </si>
  <si>
    <t>Team 2</t>
  </si>
  <si>
    <t>Card ID 2</t>
  </si>
  <si>
    <t>Card 2 Status</t>
  </si>
  <si>
    <t>Both Cards Ready?</t>
  </si>
  <si>
    <t>n265400</t>
  </si>
  <si>
    <r>
      <rPr>
        <sz val="10"/>
        <color indexed="8"/>
        <rFont val="Arial"/>
      </rPr>
      <t>Linked</t>
    </r>
  </si>
  <si>
    <t>Yes</t>
  </si>
  <si>
    <t>n265403</t>
  </si>
  <si>
    <t>n265404</t>
  </si>
  <si>
    <t>n265410</t>
  </si>
  <si>
    <t>n265416</t>
  </si>
  <si>
    <t>n265426</t>
  </si>
  <si>
    <t>n265432</t>
  </si>
  <si>
    <t>n265434</t>
  </si>
  <si>
    <t>n265438</t>
  </si>
  <si>
    <t>n267508</t>
  </si>
  <si>
    <t>n267511</t>
  </si>
  <si>
    <t>n267510</t>
  </si>
  <si>
    <t>n267509</t>
  </si>
  <si>
    <t>n267512</t>
  </si>
  <si>
    <t>n267513</t>
  </si>
  <si>
    <t>n267523</t>
  </si>
  <si>
    <t>n267522</t>
  </si>
  <si>
    <t>n267524</t>
  </si>
  <si>
    <t>n267560</t>
  </si>
  <si>
    <t>n269559</t>
  </si>
  <si>
    <t>n269561</t>
  </si>
  <si>
    <t>n269570</t>
  </si>
  <si>
    <t>n269572</t>
  </si>
  <si>
    <t>n271733</t>
  </si>
  <si>
    <t>n271744</t>
  </si>
  <si>
    <t>n273544</t>
  </si>
  <si>
    <t>n273551</t>
  </si>
  <si>
    <t>n273550</t>
  </si>
  <si>
    <t>n273553</t>
  </si>
  <si>
    <t>How to use</t>
  </si>
  <si>
    <t>1. On the Cards sheet, paste a link to each trading card PNG in column H and the jersey number in column F (yellow cells, blue text).</t>
  </si>
  <si>
    <t>2. A link can be a full https address or a path inside your GitHub repo, for example cards/2021-22_TBL_Steven-Stamkos.png. Hosting the PNGs in the repo is the most reliable.</t>
  </si>
  <si>
    <t>3. Image Status turns green when a .png link is present. It checks the link text only; open the page to confirm the image loads.</t>
  </si>
  <si>
    <t>4. Run sheet_to_cards_json.py on this file to produce cards.json, then upload cards.json next to index.html.</t>
  </si>
  <si>
    <t>Definitions</t>
  </si>
  <si>
    <t>*PIM = the player's total playoff penalty minutes across the five postseasons, 2021-22 to 2025-26. It is not the minutes from any single fight.</t>
  </si>
  <si>
    <t>One card per player per season and team, because a card shows the team the player fought for. Pre-filled columns (Player, Season, Team, Position, PIM) come from the project spreadsheets.</t>
  </si>
  <si>
    <t>The 3 uncollected 2022-23 fights have no rows yet. Add them here once collected.</t>
  </si>
  <si>
    <t>Progress</t>
  </si>
  <si>
    <t>Cards total</t>
  </si>
  <si>
    <t>Cards linked</t>
  </si>
  <si>
    <t>Cards missing</t>
  </si>
  <si>
    <t>Fights with both cards ready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</si>
</sst>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&quot;-&quot;mm&quot;-&quot;dd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9"/>
      <name val="Arial"/>
    </font>
    <font>
      <sz val="10"/>
      <color indexed="8"/>
      <name val="Arial"/>
    </font>
    <font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14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2" applyNumberFormat="1" applyFont="1" applyFill="1" applyBorder="1" applyAlignment="1" applyProtection="0">
      <alignment horizontal="center" vertical="center" wrapText="1"/>
    </xf>
    <xf numFmtId="49" fontId="3" fillId="2" borderId="3" applyNumberFormat="1" applyFont="1" applyFill="1" applyBorder="1" applyAlignment="1" applyProtection="0">
      <alignment horizontal="center" vertical="center" wrapText="1"/>
    </xf>
    <xf numFmtId="49" fontId="4" fillId="3" borderId="4" applyNumberFormat="1" applyFont="1" applyFill="1" applyBorder="1" applyAlignment="1" applyProtection="0">
      <alignment vertical="bottom"/>
    </xf>
    <xf numFmtId="49" fontId="4" fillId="3" borderId="5" applyNumberFormat="1" applyFont="1" applyFill="1" applyBorder="1" applyAlignment="1" applyProtection="0">
      <alignment vertical="bottom"/>
    </xf>
    <xf numFmtId="1" fontId="5" fillId="4" borderId="6" applyNumberFormat="1" applyFont="1" applyFill="1" applyBorder="1" applyAlignment="1" applyProtection="0">
      <alignment vertical="bottom"/>
    </xf>
    <xf numFmtId="1" fontId="4" fillId="3" borderId="7" applyNumberFormat="1" applyFont="1" applyFill="1" applyBorder="1" applyAlignment="1" applyProtection="0">
      <alignment vertical="bottom"/>
    </xf>
    <xf numFmtId="0" fontId="4" fillId="3" borderId="4" applyNumberFormat="0" applyFont="1" applyFill="1" applyBorder="1" applyAlignment="1" applyProtection="0">
      <alignment vertical="bottom"/>
    </xf>
    <xf numFmtId="1" fontId="4" fillId="3" borderId="5" applyNumberFormat="1" applyFont="1" applyFill="1" applyBorder="1" applyAlignment="1" applyProtection="0">
      <alignment vertical="bottom"/>
    </xf>
    <xf numFmtId="1" fontId="5" fillId="4" borderId="8" applyNumberFormat="1" applyFont="1" applyFill="1" applyBorder="1" applyAlignment="1" applyProtection="0">
      <alignment vertical="bottom"/>
    </xf>
    <xf numFmtId="49" fontId="4" fillId="3" borderId="9" applyNumberFormat="1" applyFont="1" applyFill="1" applyBorder="1" applyAlignment="1" applyProtection="0">
      <alignment vertical="bottom"/>
    </xf>
    <xf numFmtId="49" fontId="4" fillId="3" borderId="10" applyNumberFormat="1" applyFont="1" applyFill="1" applyBorder="1" applyAlignment="1" applyProtection="0">
      <alignment vertical="bottom"/>
    </xf>
    <xf numFmtId="1" fontId="4" fillId="3" borderId="11" applyNumberFormat="1" applyFont="1" applyFill="1" applyBorder="1" applyAlignment="1" applyProtection="0">
      <alignment vertical="bottom"/>
    </xf>
    <xf numFmtId="49" fontId="5" fillId="4" borderId="3" applyNumberFormat="1" applyFont="1" applyFill="1" applyBorder="1" applyAlignment="1" applyProtection="0">
      <alignment vertical="bottom"/>
    </xf>
    <xf numFmtId="0" fontId="4" fillId="3" borderId="9" applyNumberFormat="0" applyFont="1" applyFill="1" applyBorder="1" applyAlignment="1" applyProtection="0">
      <alignment vertical="bottom"/>
    </xf>
    <xf numFmtId="1" fontId="4" fillId="3" borderId="10" applyNumberFormat="1" applyFont="1" applyFill="1" applyBorder="1" applyAlignment="1" applyProtection="0">
      <alignment vertical="bottom"/>
    </xf>
    <xf numFmtId="49" fontId="5" fillId="4" borderId="8" applyNumberFormat="1" applyFont="1" applyFill="1" applyBorder="1" applyAlignment="1" applyProtection="0">
      <alignment vertical="bottom"/>
    </xf>
    <xf numFmtId="49" fontId="5" fillId="4" borderId="7" applyNumberFormat="1" applyFont="1" applyFill="1" applyBorder="1" applyAlignment="1" applyProtection="0">
      <alignment vertical="bottom"/>
    </xf>
    <xf numFmtId="1" fontId="4" fillId="3" borderId="12" applyNumberFormat="1" applyFont="1" applyFill="1" applyBorder="1" applyAlignment="1" applyProtection="0">
      <alignment vertical="bottom"/>
    </xf>
    <xf numFmtId="1" fontId="5" fillId="4" borderId="13" applyNumberFormat="1" applyFont="1" applyFill="1" applyBorder="1" applyAlignment="1" applyProtection="0">
      <alignment vertical="bottom"/>
    </xf>
    <xf numFmtId="1" fontId="5" fillId="4" borderId="7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4" fillId="3" borderId="4" applyNumberFormat="1" applyFont="1" applyFill="1" applyBorder="1" applyAlignment="1" applyProtection="0">
      <alignment vertical="bottom"/>
    </xf>
    <xf numFmtId="59" fontId="4" fillId="3" borderId="9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fillId="3" borderId="9" applyNumberFormat="1" applyFont="1" applyFill="1" applyBorder="1" applyAlignment="1" applyProtection="0">
      <alignment vertical="top" wrapText="1"/>
    </xf>
    <xf numFmtId="0" fontId="0" fillId="3" borderId="9" applyNumberFormat="0" applyFont="1" applyFill="1" applyBorder="1" applyAlignment="1" applyProtection="0">
      <alignment vertical="bottom"/>
    </xf>
    <xf numFmtId="1" fontId="4" fillId="3" borderId="9" applyNumberFormat="1" applyFont="1" applyFill="1" applyBorder="1" applyAlignment="1" applyProtection="0">
      <alignment vertical="top" wrapText="1"/>
    </xf>
    <xf numFmtId="1" fontId="4" fillId="3" borderId="9" applyNumberFormat="1" applyFont="1" applyFill="1" applyBorder="1" applyAlignment="1" applyProtection="0">
      <alignment vertical="bottom"/>
    </xf>
  </cellXfs>
  <cellStyles count="1">
    <cellStyle name="Normal" xfId="0" builtinId="0"/>
  </cellStyles>
  <dxfs count="4">
    <dxf>
      <fill>
        <patternFill patternType="solid">
          <fgColor indexed="14"/>
          <bgColor indexed="15"/>
        </patternFill>
      </fill>
    </dxf>
    <dxf>
      <fill>
        <patternFill patternType="solid">
          <fgColor indexed="14"/>
          <bgColor indexed="16"/>
        </patternFill>
      </fill>
    </dxf>
    <dxf>
      <fill>
        <patternFill patternType="solid">
          <fgColor indexed="14"/>
          <bgColor indexed="15"/>
        </patternFill>
      </fill>
    </dxf>
    <dxf>
      <fill>
        <patternFill patternType="solid">
          <fgColor indexed="14"/>
          <bgColor indexed="16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1f33"/>
      <rgbColor rgb="ffaaaaaa"/>
      <rgbColor rgb="ff0000ff"/>
      <rgbColor rgb="fffff9db"/>
      <rgbColor rgb="00000000"/>
      <rgbColor rgb="ffc6efce"/>
      <rgbColor rgb="ffffc7c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57"/>
  <sheetViews>
    <sheetView workbookViewId="0" showGridLines="0" defaultGridColor="1"/>
  </sheetViews>
  <sheetFormatPr defaultColWidth="8.66667" defaultRowHeight="15" customHeight="1" outlineLevelRow="0" outlineLevelCol="0"/>
  <cols>
    <col min="1" max="1" width="34" style="1" customWidth="1"/>
    <col min="2" max="2" width="22" style="1" customWidth="1"/>
    <col min="3" max="3" width="10" style="1" customWidth="1"/>
    <col min="4" max="4" width="8" style="1" customWidth="1"/>
    <col min="5" max="5" width="10" style="1" customWidth="1"/>
    <col min="6" max="6" width="12" style="1" customWidth="1"/>
    <col min="7" max="7" width="16" style="1" customWidth="1"/>
    <col min="8" max="8" width="52" style="1" customWidth="1"/>
    <col min="9" max="9" width="28" style="1" customWidth="1"/>
    <col min="10" max="10" width="22" style="1" customWidth="1"/>
    <col min="11" max="11" width="12" style="1" customWidth="1"/>
    <col min="12" max="12" width="30" style="1" customWidth="1"/>
    <col min="13" max="16384" width="8.67188" style="1" customWidth="1"/>
  </cols>
  <sheetData>
    <row r="1" ht="42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4">
        <v>11</v>
      </c>
    </row>
    <row r="2" ht="13.65" customHeight="1">
      <c r="A2" t="s" s="5">
        <v>12</v>
      </c>
      <c r="B2" t="s" s="5">
        <v>13</v>
      </c>
      <c r="C2" t="s" s="5">
        <v>14</v>
      </c>
      <c r="D2" t="s" s="5">
        <v>15</v>
      </c>
      <c r="E2" t="s" s="6">
        <v>16</v>
      </c>
      <c r="F2" s="7"/>
      <c r="G2" s="8">
        <v>21</v>
      </c>
      <c r="H2" t="s" s="5">
        <v>17</v>
      </c>
      <c r="I2" t="s" s="5">
        <v>13</v>
      </c>
      <c r="J2" t="str" s="9" cm="1">
        <f t="array" ref="J2">IF(H2="","Missing",IF(RIGHT(LOWER(TRIM(H2)),4)=".png","Linked","Check: not a .png link"))</f>
        <v>Linked</v>
      </c>
      <c r="K2" s="10" cm="1">
        <f t="array" ref="K2">COUNTIF('Fight_Cards'!$F$2:$F$30,A2)+COUNTIF('Fight_Cards'!$J$2:$J$30,A2)</f>
        <v>1</v>
      </c>
      <c r="L2" s="11"/>
    </row>
    <row r="3" ht="13.65" customHeight="1">
      <c r="A3" t="s" s="12">
        <v>19</v>
      </c>
      <c r="B3" t="s" s="12">
        <v>20</v>
      </c>
      <c r="C3" t="s" s="12">
        <v>14</v>
      </c>
      <c r="D3" t="s" s="12">
        <v>21</v>
      </c>
      <c r="E3" t="s" s="13">
        <v>22</v>
      </c>
      <c r="F3" s="7"/>
      <c r="G3" s="14">
        <v>158</v>
      </c>
      <c r="H3" t="s" s="15">
        <v>23</v>
      </c>
      <c r="I3" t="s" s="12">
        <v>20</v>
      </c>
      <c r="J3" t="str" s="16" cm="1">
        <f t="array" ref="J3">IF(H3="","Missing",IF(RIGHT(LOWER(TRIM(H3)),4)=".png","Linked","Check: not a .png link"))</f>
        <v>Linked</v>
      </c>
      <c r="K3" s="17" cm="1">
        <f t="array" ref="K3">COUNTIF('Fight_Cards'!$F$2:$F$30,A3)+COUNTIF('Fight_Cards'!$J$2:$J$30,A3)</f>
        <v>2</v>
      </c>
      <c r="L3" s="11"/>
    </row>
    <row r="4" ht="13.65" customHeight="1">
      <c r="A4" t="s" s="12">
        <v>24</v>
      </c>
      <c r="B4" t="s" s="12">
        <v>25</v>
      </c>
      <c r="C4" t="s" s="12">
        <v>14</v>
      </c>
      <c r="D4" t="s" s="12">
        <v>21</v>
      </c>
      <c r="E4" t="s" s="13">
        <v>26</v>
      </c>
      <c r="F4" s="7"/>
      <c r="G4" s="14">
        <v>41</v>
      </c>
      <c r="H4" t="s" s="18">
        <v>27</v>
      </c>
      <c r="I4" t="s" s="12">
        <v>25</v>
      </c>
      <c r="J4" t="str" s="16" cm="1">
        <f t="array" ref="J4">IF(H4="","Missing",IF(RIGHT(LOWER(TRIM(H4)),4)=".png","Linked","Check: not a .png link"))</f>
        <v>Linked</v>
      </c>
      <c r="K4" s="17" cm="1">
        <f t="array" ref="K4">COUNTIF('Fight_Cards'!$F$2:$F$30,A4)+COUNTIF('Fight_Cards'!$J$2:$J$30,A4)</f>
        <v>1</v>
      </c>
      <c r="L4" s="11"/>
    </row>
    <row r="5" ht="13.65" customHeight="1">
      <c r="A5" t="s" s="12">
        <v>28</v>
      </c>
      <c r="B5" t="s" s="12">
        <v>29</v>
      </c>
      <c r="C5" t="s" s="12">
        <v>14</v>
      </c>
      <c r="D5" t="s" s="12">
        <v>30</v>
      </c>
      <c r="E5" t="s" s="13">
        <v>31</v>
      </c>
      <c r="F5" s="7"/>
      <c r="G5" s="14">
        <v>31</v>
      </c>
      <c r="H5" t="s" s="18">
        <v>32</v>
      </c>
      <c r="I5" t="s" s="12">
        <v>29</v>
      </c>
      <c r="J5" t="str" s="16" cm="1">
        <f t="array" ref="J5">IF(H5="","Missing",IF(RIGHT(LOWER(TRIM(H5)),4)=".png","Linked","Check: not a .png link"))</f>
        <v>Linked</v>
      </c>
      <c r="K5" s="17" cm="1">
        <f t="array" ref="K5">COUNTIF('Fight_Cards'!$F$2:$F$30,A5)+COUNTIF('Fight_Cards'!$J$2:$J$30,A5)</f>
        <v>1</v>
      </c>
      <c r="L5" s="11"/>
    </row>
    <row r="6" ht="13.65" customHeight="1">
      <c r="A6" t="s" s="12">
        <v>33</v>
      </c>
      <c r="B6" t="s" s="12">
        <v>34</v>
      </c>
      <c r="C6" t="s" s="12">
        <v>14</v>
      </c>
      <c r="D6" t="s" s="12">
        <v>35</v>
      </c>
      <c r="E6" t="s" s="13">
        <v>26</v>
      </c>
      <c r="F6" s="7"/>
      <c r="G6" s="14">
        <v>28</v>
      </c>
      <c r="H6" t="s" s="19">
        <v>36</v>
      </c>
      <c r="I6" t="s" s="12">
        <v>34</v>
      </c>
      <c r="J6" t="str" s="16" cm="1">
        <f t="array" ref="J6">IF(H6="","Missing",IF(RIGHT(LOWER(TRIM(H6)),4)=".png","Linked","Check: not a .png link"))</f>
        <v>Linked</v>
      </c>
      <c r="K6" s="17" cm="1">
        <f t="array" ref="K6">COUNTIF('Fight_Cards'!$F$2:$F$30,A6)+COUNTIF('Fight_Cards'!$J$2:$J$30,A6)</f>
        <v>2</v>
      </c>
      <c r="L6" s="11"/>
    </row>
    <row r="7" ht="13.65" customHeight="1">
      <c r="A7" t="s" s="12">
        <v>37</v>
      </c>
      <c r="B7" t="s" s="12">
        <v>38</v>
      </c>
      <c r="C7" t="s" s="12">
        <v>14</v>
      </c>
      <c r="D7" t="s" s="12">
        <v>35</v>
      </c>
      <c r="E7" t="s" s="13">
        <v>22</v>
      </c>
      <c r="F7" s="7"/>
      <c r="G7" s="20">
        <v>19</v>
      </c>
      <c r="H7" t="s" s="12">
        <v>39</v>
      </c>
      <c r="I7" t="s" s="12">
        <v>38</v>
      </c>
      <c r="J7" t="str" s="16" cm="1">
        <f t="array" ref="J7">IF(H7="","Missing",IF(RIGHT(LOWER(TRIM(H7)),4)=".png","Linked","Check: not a .png link"))</f>
        <v>Linked</v>
      </c>
      <c r="K7" s="17" cm="1">
        <f t="array" ref="K7">COUNTIF('Fight_Cards'!$F$2:$F$30,A7)+COUNTIF('Fight_Cards'!$J$2:$J$30,A7)</f>
        <v>1</v>
      </c>
      <c r="L7" s="11"/>
    </row>
    <row r="8" ht="13.65" customHeight="1">
      <c r="A8" t="s" s="12">
        <v>40</v>
      </c>
      <c r="B8" t="s" s="12">
        <v>41</v>
      </c>
      <c r="C8" t="s" s="12">
        <v>14</v>
      </c>
      <c r="D8" t="s" s="12">
        <v>42</v>
      </c>
      <c r="E8" t="s" s="13">
        <v>26</v>
      </c>
      <c r="F8" s="7"/>
      <c r="G8" s="20">
        <v>85</v>
      </c>
      <c r="H8" t="s" s="12">
        <v>43</v>
      </c>
      <c r="I8" t="s" s="12">
        <v>41</v>
      </c>
      <c r="J8" t="str" s="16" cm="1">
        <f t="array" ref="J8">IF(H8="","Missing",IF(RIGHT(LOWER(TRIM(H8)),4)=".png","Linked","Check: not a .png link"))</f>
        <v>Linked</v>
      </c>
      <c r="K8" s="17" cm="1">
        <f t="array" ref="K8">COUNTIF('Fight_Cards'!$F$2:$F$30,A8)+COUNTIF('Fight_Cards'!$J$2:$J$30,A8)</f>
        <v>1</v>
      </c>
      <c r="L8" s="11"/>
    </row>
    <row r="9" ht="13.65" customHeight="1">
      <c r="A9" t="s" s="12">
        <v>44</v>
      </c>
      <c r="B9" t="s" s="12">
        <v>45</v>
      </c>
      <c r="C9" t="s" s="12">
        <v>14</v>
      </c>
      <c r="D9" t="s" s="12">
        <v>46</v>
      </c>
      <c r="E9" t="s" s="13">
        <v>22</v>
      </c>
      <c r="F9" s="7"/>
      <c r="G9" s="20">
        <v>17</v>
      </c>
      <c r="H9" t="s" s="12">
        <v>47</v>
      </c>
      <c r="I9" t="s" s="12">
        <v>45</v>
      </c>
      <c r="J9" t="str" s="16" cm="1">
        <f t="array" ref="J9">IF(H9="","Missing",IF(RIGHT(LOWER(TRIM(H9)),4)=".png","Linked","Check: not a .png link"))</f>
        <v>Linked</v>
      </c>
      <c r="K9" s="17" cm="1">
        <f t="array" ref="K9">COUNTIF('Fight_Cards'!$F$2:$F$30,A9)+COUNTIF('Fight_Cards'!$J$2:$J$30,A9)</f>
        <v>1</v>
      </c>
      <c r="L9" s="11"/>
    </row>
    <row r="10" ht="13.65" customHeight="1">
      <c r="A10" t="s" s="12">
        <v>48</v>
      </c>
      <c r="B10" t="s" s="12">
        <v>49</v>
      </c>
      <c r="C10" t="s" s="12">
        <v>14</v>
      </c>
      <c r="D10" t="s" s="12">
        <v>46</v>
      </c>
      <c r="E10" t="s" s="13">
        <v>31</v>
      </c>
      <c r="F10" s="7"/>
      <c r="G10" s="20">
        <v>13</v>
      </c>
      <c r="H10" t="s" s="12">
        <v>50</v>
      </c>
      <c r="I10" t="s" s="12">
        <v>49</v>
      </c>
      <c r="J10" t="str" s="16" cm="1">
        <f t="array" ref="J10">IF(H10="","Missing",IF(RIGHT(LOWER(TRIM(H10)),4)=".png","Linked","Check: not a .png link"))</f>
        <v>Linked</v>
      </c>
      <c r="K10" s="17" cm="1">
        <f t="array" ref="K10">COUNTIF('Fight_Cards'!$F$2:$F$30,A10)+COUNTIF('Fight_Cards'!$J$2:$J$30,A10)</f>
        <v>1</v>
      </c>
      <c r="L10" s="11"/>
    </row>
    <row r="11" ht="13.65" customHeight="1">
      <c r="A11" t="s" s="12">
        <v>51</v>
      </c>
      <c r="B11" t="s" s="12">
        <v>52</v>
      </c>
      <c r="C11" t="s" s="12">
        <v>14</v>
      </c>
      <c r="D11" t="s" s="12">
        <v>46</v>
      </c>
      <c r="E11" t="s" s="13">
        <v>26</v>
      </c>
      <c r="F11" s="7"/>
      <c r="G11" s="20">
        <v>57</v>
      </c>
      <c r="H11" t="s" s="12">
        <v>53</v>
      </c>
      <c r="I11" t="s" s="12">
        <v>52</v>
      </c>
      <c r="J11" t="str" s="16" cm="1">
        <f t="array" ref="J11">IF(H11="","Missing",IF(RIGHT(LOWER(TRIM(H11)),4)=".png","Linked","Check: not a .png link"))</f>
        <v>Linked</v>
      </c>
      <c r="K11" s="17" cm="1">
        <f t="array" ref="K11">COUNTIF('Fight_Cards'!$F$2:$F$30,A11)+COUNTIF('Fight_Cards'!$J$2:$J$30,A11)</f>
        <v>1</v>
      </c>
      <c r="L11" s="11"/>
    </row>
    <row r="12" ht="13.65" customHeight="1">
      <c r="A12" t="s" s="12">
        <v>54</v>
      </c>
      <c r="B12" t="s" s="12">
        <v>55</v>
      </c>
      <c r="C12" t="s" s="12">
        <v>14</v>
      </c>
      <c r="D12" t="s" s="12">
        <v>56</v>
      </c>
      <c r="E12" t="s" s="13">
        <v>22</v>
      </c>
      <c r="F12" s="7"/>
      <c r="G12" s="20">
        <v>45</v>
      </c>
      <c r="H12" t="s" s="12">
        <v>57</v>
      </c>
      <c r="I12" t="s" s="12">
        <v>55</v>
      </c>
      <c r="J12" t="str" s="16" cm="1">
        <f t="array" ref="J12">IF(H12="","Missing",IF(RIGHT(LOWER(TRIM(H12)),4)=".png","Linked","Check: not a .png link"))</f>
        <v>Linked</v>
      </c>
      <c r="K12" s="17" cm="1">
        <f t="array" ref="K12">COUNTIF('Fight_Cards'!$F$2:$F$30,A12)+COUNTIF('Fight_Cards'!$J$2:$J$30,A12)</f>
        <v>1</v>
      </c>
      <c r="L12" s="11"/>
    </row>
    <row r="13" ht="13.65" customHeight="1">
      <c r="A13" t="s" s="12">
        <v>58</v>
      </c>
      <c r="B13" t="s" s="12">
        <v>59</v>
      </c>
      <c r="C13" t="s" s="12">
        <v>14</v>
      </c>
      <c r="D13" t="s" s="12">
        <v>56</v>
      </c>
      <c r="E13" t="s" s="13">
        <v>26</v>
      </c>
      <c r="F13" s="7"/>
      <c r="G13" s="20">
        <v>17</v>
      </c>
      <c r="H13" t="s" s="12">
        <v>60</v>
      </c>
      <c r="I13" t="s" s="12">
        <v>59</v>
      </c>
      <c r="J13" t="str" s="16" cm="1">
        <f t="array" ref="J13">IF(H13="","Missing",IF(RIGHT(LOWER(TRIM(H13)),4)=".png","Linked","Check: not a .png link"))</f>
        <v>Linked</v>
      </c>
      <c r="K13" s="17" cm="1">
        <f t="array" ref="K13">COUNTIF('Fight_Cards'!$F$2:$F$30,A13)+COUNTIF('Fight_Cards'!$J$2:$J$30,A13)</f>
        <v>1</v>
      </c>
      <c r="L13" s="11"/>
    </row>
    <row r="14" ht="13.65" customHeight="1">
      <c r="A14" t="s" s="12">
        <v>61</v>
      </c>
      <c r="B14" t="s" s="12">
        <v>62</v>
      </c>
      <c r="C14" t="s" s="12">
        <v>14</v>
      </c>
      <c r="D14" t="s" s="12">
        <v>56</v>
      </c>
      <c r="E14" t="s" s="13">
        <v>16</v>
      </c>
      <c r="F14" s="7"/>
      <c r="G14" s="20">
        <v>35</v>
      </c>
      <c r="H14" t="s" s="12">
        <v>63</v>
      </c>
      <c r="I14" t="s" s="12">
        <v>62</v>
      </c>
      <c r="J14" t="str" s="16" cm="1">
        <f t="array" ref="J14">IF(H14="","Missing",IF(RIGHT(LOWER(TRIM(H14)),4)=".png","Linked","Check: not a .png link"))</f>
        <v>Linked</v>
      </c>
      <c r="K14" s="17" cm="1">
        <f t="array" ref="K14">COUNTIF('Fight_Cards'!$F$2:$F$30,A14)+COUNTIF('Fight_Cards'!$J$2:$J$30,A14)</f>
        <v>1</v>
      </c>
      <c r="L14" s="11"/>
    </row>
    <row r="15" ht="13.65" customHeight="1">
      <c r="A15" t="s" s="12">
        <v>64</v>
      </c>
      <c r="B15" t="s" s="12">
        <v>65</v>
      </c>
      <c r="C15" t="s" s="12">
        <v>14</v>
      </c>
      <c r="D15" t="s" s="12">
        <v>56</v>
      </c>
      <c r="E15" t="s" s="13">
        <v>16</v>
      </c>
      <c r="F15" s="7"/>
      <c r="G15" s="20">
        <v>36</v>
      </c>
      <c r="H15" t="s" s="12">
        <v>66</v>
      </c>
      <c r="I15" t="s" s="12">
        <v>65</v>
      </c>
      <c r="J15" t="str" s="16" cm="1">
        <f t="array" ref="J15">IF(H15="","Missing",IF(RIGHT(LOWER(TRIM(H15)),4)=".png","Linked","Check: not a .png link"))</f>
        <v>Linked</v>
      </c>
      <c r="K15" s="17" cm="1">
        <f t="array" ref="K15">COUNTIF('Fight_Cards'!$F$2:$F$30,A15)+COUNTIF('Fight_Cards'!$J$2:$J$30,A15)</f>
        <v>1</v>
      </c>
      <c r="L15" s="11"/>
    </row>
    <row r="16" ht="13.65" customHeight="1">
      <c r="A16" t="s" s="12">
        <v>67</v>
      </c>
      <c r="B16" t="s" s="12">
        <v>68</v>
      </c>
      <c r="C16" t="s" s="12">
        <v>14</v>
      </c>
      <c r="D16" t="s" s="12">
        <v>69</v>
      </c>
      <c r="E16" t="s" s="13">
        <v>26</v>
      </c>
      <c r="F16" s="7"/>
      <c r="G16" s="20">
        <v>27</v>
      </c>
      <c r="H16" t="s" s="12">
        <v>70</v>
      </c>
      <c r="I16" t="s" s="12">
        <v>68</v>
      </c>
      <c r="J16" t="str" s="16" cm="1">
        <f t="array" ref="J16">IF(H16="","Missing",IF(RIGHT(LOWER(TRIM(H16)),4)=".png","Linked","Check: not a .png link"))</f>
        <v>Linked</v>
      </c>
      <c r="K16" s="17" cm="1">
        <f t="array" ref="K16">COUNTIF('Fight_Cards'!$F$2:$F$30,A16)+COUNTIF('Fight_Cards'!$J$2:$J$30,A16)</f>
        <v>1</v>
      </c>
      <c r="L16" s="11"/>
    </row>
    <row r="17" ht="13.65" customHeight="1">
      <c r="A17" t="s" s="12">
        <v>71</v>
      </c>
      <c r="B17" t="s" s="12">
        <v>72</v>
      </c>
      <c r="C17" t="s" s="12">
        <v>14</v>
      </c>
      <c r="D17" t="s" s="12">
        <v>73</v>
      </c>
      <c r="E17" t="s" s="13">
        <v>31</v>
      </c>
      <c r="F17" s="7"/>
      <c r="G17" s="20">
        <v>35</v>
      </c>
      <c r="H17" t="s" s="12">
        <v>74</v>
      </c>
      <c r="I17" t="s" s="12">
        <v>72</v>
      </c>
      <c r="J17" t="str" s="16" cm="1">
        <f t="array" ref="J17">IF(H17="","Missing",IF(RIGHT(LOWER(TRIM(H17)),4)=".png","Linked","Check: not a .png link"))</f>
        <v>Linked</v>
      </c>
      <c r="K17" s="17" cm="1">
        <f t="array" ref="K17">COUNTIF('Fight_Cards'!$F$2:$F$30,A17)+COUNTIF('Fight_Cards'!$J$2:$J$30,A17)</f>
        <v>1</v>
      </c>
      <c r="L17" s="11"/>
    </row>
    <row r="18" ht="13.65" customHeight="1">
      <c r="A18" t="s" s="12">
        <v>75</v>
      </c>
      <c r="B18" t="s" s="12">
        <v>76</v>
      </c>
      <c r="C18" t="s" s="12">
        <v>77</v>
      </c>
      <c r="D18" t="s" s="12">
        <v>78</v>
      </c>
      <c r="E18" t="s" s="13">
        <v>26</v>
      </c>
      <c r="F18" s="7"/>
      <c r="G18" s="20">
        <v>31</v>
      </c>
      <c r="H18" t="s" s="12">
        <v>79</v>
      </c>
      <c r="I18" t="s" s="12">
        <v>76</v>
      </c>
      <c r="J18" t="str" s="16" cm="1">
        <f t="array" ref="J18">IF(H18="","Missing",IF(RIGHT(LOWER(TRIM(H18)),4)=".png","Linked","Check: not a .png link"))</f>
        <v>Linked</v>
      </c>
      <c r="K18" s="17" cm="1">
        <f t="array" ref="K18">COUNTIF('Fight_Cards'!$F$2:$F$30,A18)+COUNTIF('Fight_Cards'!$J$2:$J$30,A18)</f>
        <v>1</v>
      </c>
      <c r="L18" s="11"/>
    </row>
    <row r="19" ht="13.65" customHeight="1">
      <c r="A19" t="s" s="12">
        <v>80</v>
      </c>
      <c r="B19" t="s" s="12">
        <v>81</v>
      </c>
      <c r="C19" t="s" s="12">
        <v>77</v>
      </c>
      <c r="D19" t="s" s="12">
        <v>15</v>
      </c>
      <c r="E19" t="s" s="13">
        <v>31</v>
      </c>
      <c r="F19" s="7"/>
      <c r="G19" s="20">
        <v>42</v>
      </c>
      <c r="H19" t="s" s="12">
        <v>82</v>
      </c>
      <c r="I19" t="s" s="12">
        <v>81</v>
      </c>
      <c r="J19" t="str" s="16" cm="1">
        <f t="array" ref="J19">IF(H19="","Missing",IF(RIGHT(LOWER(TRIM(H19)),4)=".png","Linked","Check: not a .png link"))</f>
        <v>Linked</v>
      </c>
      <c r="K19" s="17" cm="1">
        <f t="array" ref="K19">COUNTIF('Fight_Cards'!$F$2:$F$30,A19)+COUNTIF('Fight_Cards'!$J$2:$J$30,A19)</f>
        <v>1</v>
      </c>
      <c r="L19" s="11"/>
    </row>
    <row r="20" ht="13.65" customHeight="1">
      <c r="A20" t="s" s="12">
        <v>83</v>
      </c>
      <c r="B20" t="s" s="12">
        <v>84</v>
      </c>
      <c r="C20" t="s" s="12">
        <v>77</v>
      </c>
      <c r="D20" t="s" s="12">
        <v>85</v>
      </c>
      <c r="E20" t="s" s="13">
        <v>26</v>
      </c>
      <c r="F20" s="7"/>
      <c r="G20" s="20">
        <v>49</v>
      </c>
      <c r="H20" t="s" s="12">
        <v>86</v>
      </c>
      <c r="I20" t="s" s="12">
        <v>84</v>
      </c>
      <c r="J20" t="str" s="16" cm="1">
        <f t="array" ref="J20">IF(H20="","Missing",IF(RIGHT(LOWER(TRIM(H20)),4)=".png","Linked","Check: not a .png link"))</f>
        <v>Linked</v>
      </c>
      <c r="K20" s="17" cm="1">
        <f t="array" ref="K20">COUNTIF('Fight_Cards'!$F$2:$F$30,A20)+COUNTIF('Fight_Cards'!$J$2:$J$30,A20)</f>
        <v>1</v>
      </c>
      <c r="L20" s="11"/>
    </row>
    <row r="21" ht="13.65" customHeight="1">
      <c r="A21" t="s" s="12">
        <v>87</v>
      </c>
      <c r="B21" t="s" s="12">
        <v>88</v>
      </c>
      <c r="C21" t="s" s="12">
        <v>77</v>
      </c>
      <c r="D21" t="s" s="12">
        <v>85</v>
      </c>
      <c r="E21" t="s" s="13">
        <v>26</v>
      </c>
      <c r="F21" s="7"/>
      <c r="G21" s="20">
        <v>94</v>
      </c>
      <c r="H21" t="s" s="12">
        <v>89</v>
      </c>
      <c r="I21" t="s" s="12">
        <v>88</v>
      </c>
      <c r="J21" t="str" s="16" cm="1">
        <f t="array" ref="J21">IF(H21="","Missing",IF(RIGHT(LOWER(TRIM(H21)),4)=".png","Linked","Check: not a .png link"))</f>
        <v>Linked</v>
      </c>
      <c r="K21" s="17" cm="1">
        <f t="array" ref="K21">COUNTIF('Fight_Cards'!$F$2:$F$30,A21)+COUNTIF('Fight_Cards'!$J$2:$J$30,A21)</f>
        <v>1</v>
      </c>
      <c r="L21" s="11"/>
    </row>
    <row r="22" ht="13.65" customHeight="1">
      <c r="A22" t="s" s="12">
        <v>90</v>
      </c>
      <c r="B22" t="s" s="12">
        <v>91</v>
      </c>
      <c r="C22" t="s" s="12">
        <v>77</v>
      </c>
      <c r="D22" t="s" s="12">
        <v>85</v>
      </c>
      <c r="E22" t="s" s="13">
        <v>16</v>
      </c>
      <c r="F22" s="7"/>
      <c r="G22" s="20">
        <v>9</v>
      </c>
      <c r="H22" t="s" s="12">
        <v>92</v>
      </c>
      <c r="I22" t="s" s="12">
        <v>91</v>
      </c>
      <c r="J22" t="str" s="16" cm="1">
        <f t="array" ref="J22">IF(H22="","Missing",IF(RIGHT(LOWER(TRIM(H22)),4)=".png","Linked","Check: not a .png link"))</f>
        <v>Linked</v>
      </c>
      <c r="K22" s="17" cm="1">
        <f t="array" ref="K22">COUNTIF('Fight_Cards'!$F$2:$F$30,A22)+COUNTIF('Fight_Cards'!$J$2:$J$30,A22)</f>
        <v>1</v>
      </c>
      <c r="L22" s="11"/>
    </row>
    <row r="23" ht="13.65" customHeight="1">
      <c r="A23" t="s" s="12">
        <v>93</v>
      </c>
      <c r="B23" t="s" s="12">
        <v>94</v>
      </c>
      <c r="C23" t="s" s="12">
        <v>77</v>
      </c>
      <c r="D23" t="s" s="12">
        <v>42</v>
      </c>
      <c r="E23" t="s" s="13">
        <v>26</v>
      </c>
      <c r="F23" s="7"/>
      <c r="G23" s="20">
        <v>57</v>
      </c>
      <c r="H23" t="s" s="12">
        <v>95</v>
      </c>
      <c r="I23" t="s" s="12">
        <v>94</v>
      </c>
      <c r="J23" t="str" s="16" cm="1">
        <f t="array" ref="J23">IF(H23="","Missing",IF(RIGHT(LOWER(TRIM(H23)),4)=".png","Linked","Check: not a .png link"))</f>
        <v>Linked</v>
      </c>
      <c r="K23" s="17" cm="1">
        <f t="array" ref="K23">COUNTIF('Fight_Cards'!$F$2:$F$30,A23)+COUNTIF('Fight_Cards'!$J$2:$J$30,A23)</f>
        <v>1</v>
      </c>
      <c r="L23" s="11"/>
    </row>
    <row r="24" ht="13.65" customHeight="1">
      <c r="A24" t="s" s="12">
        <v>96</v>
      </c>
      <c r="B24" t="s" s="12">
        <v>97</v>
      </c>
      <c r="C24" t="s" s="12">
        <v>77</v>
      </c>
      <c r="D24" t="s" s="12">
        <v>98</v>
      </c>
      <c r="E24" t="s" s="13">
        <v>22</v>
      </c>
      <c r="F24" s="7"/>
      <c r="G24" s="20">
        <v>25</v>
      </c>
      <c r="H24" t="s" s="12">
        <v>99</v>
      </c>
      <c r="I24" t="s" s="12">
        <v>97</v>
      </c>
      <c r="J24" t="str" s="16" cm="1">
        <f t="array" ref="J24">IF(H24="","Missing",IF(RIGHT(LOWER(TRIM(H24)),4)=".png","Linked","Check: not a .png link"))</f>
        <v>Linked</v>
      </c>
      <c r="K24" s="17" cm="1">
        <f t="array" ref="K24">COUNTIF('Fight_Cards'!$F$2:$F$30,A24)+COUNTIF('Fight_Cards'!$J$2:$J$30,A24)</f>
        <v>1</v>
      </c>
      <c r="L24" s="11"/>
    </row>
    <row r="25" ht="13.65" customHeight="1">
      <c r="A25" t="s" s="12">
        <v>100</v>
      </c>
      <c r="B25" t="s" s="12">
        <v>101</v>
      </c>
      <c r="C25" t="s" s="12">
        <v>77</v>
      </c>
      <c r="D25" t="s" s="12">
        <v>98</v>
      </c>
      <c r="E25" t="s" s="13">
        <v>26</v>
      </c>
      <c r="F25" s="7"/>
      <c r="G25" s="20">
        <v>31</v>
      </c>
      <c r="H25" t="s" s="12">
        <v>102</v>
      </c>
      <c r="I25" t="s" s="12">
        <v>101</v>
      </c>
      <c r="J25" t="str" s="16" cm="1">
        <f t="array" ref="J25">IF(H25="","Missing",IF(RIGHT(LOWER(TRIM(H25)),4)=".png","Linked","Check: not a .png link"))</f>
        <v>Linked</v>
      </c>
      <c r="K25" s="17" cm="1">
        <f t="array" ref="K25">COUNTIF('Fight_Cards'!$F$2:$F$30,A25)+COUNTIF('Fight_Cards'!$J$2:$J$30,A25)</f>
        <v>1</v>
      </c>
      <c r="L25" s="11"/>
    </row>
    <row r="26" ht="13.65" customHeight="1">
      <c r="A26" t="s" s="12">
        <v>103</v>
      </c>
      <c r="B26" t="s" s="12">
        <v>104</v>
      </c>
      <c r="C26" t="s" s="12">
        <v>77</v>
      </c>
      <c r="D26" t="s" s="12">
        <v>98</v>
      </c>
      <c r="E26" t="s" s="13">
        <v>16</v>
      </c>
      <c r="F26" s="7"/>
      <c r="G26" s="20">
        <v>15</v>
      </c>
      <c r="H26" t="s" s="12">
        <v>105</v>
      </c>
      <c r="I26" t="s" s="12">
        <v>104</v>
      </c>
      <c r="J26" t="str" s="16" cm="1">
        <f t="array" ref="J26">IF(H26="","Missing",IF(RIGHT(LOWER(TRIM(H26)),4)=".png","Linked","Check: not a .png link"))</f>
        <v>Linked</v>
      </c>
      <c r="K26" s="17" cm="1">
        <f t="array" ref="K26">COUNTIF('Fight_Cards'!$F$2:$F$30,A26)+COUNTIF('Fight_Cards'!$J$2:$J$30,A26)</f>
        <v>1</v>
      </c>
      <c r="L26" s="11"/>
    </row>
    <row r="27" ht="13.65" customHeight="1">
      <c r="A27" t="s" s="12">
        <v>106</v>
      </c>
      <c r="B27" t="s" s="12">
        <v>107</v>
      </c>
      <c r="C27" t="s" s="12">
        <v>77</v>
      </c>
      <c r="D27" t="s" s="12">
        <v>46</v>
      </c>
      <c r="E27" t="s" s="13">
        <v>16</v>
      </c>
      <c r="F27" s="7"/>
      <c r="G27" s="20">
        <v>47</v>
      </c>
      <c r="H27" t="s" s="12">
        <v>108</v>
      </c>
      <c r="I27" t="s" s="12">
        <v>107</v>
      </c>
      <c r="J27" t="str" s="16" cm="1">
        <f t="array" ref="J27">IF(H27="","Missing",IF(RIGHT(LOWER(TRIM(H27)),4)=".png","Linked","Check: not a .png link"))</f>
        <v>Linked</v>
      </c>
      <c r="K27" s="17" cm="1">
        <f t="array" ref="K27">COUNTIF('Fight_Cards'!$F$2:$F$30,A27)+COUNTIF('Fight_Cards'!$J$2:$J$30,A27)</f>
        <v>1</v>
      </c>
      <c r="L27" s="11"/>
    </row>
    <row r="28" ht="13.65" customHeight="1">
      <c r="A28" t="s" s="12">
        <v>109</v>
      </c>
      <c r="B28" t="s" s="12">
        <v>110</v>
      </c>
      <c r="C28" t="s" s="12">
        <v>77</v>
      </c>
      <c r="D28" t="s" s="12">
        <v>46</v>
      </c>
      <c r="E28" t="s" s="13">
        <v>26</v>
      </c>
      <c r="F28" s="7"/>
      <c r="G28" s="20">
        <v>31</v>
      </c>
      <c r="H28" t="s" s="12">
        <v>111</v>
      </c>
      <c r="I28" t="s" s="12">
        <v>110</v>
      </c>
      <c r="J28" t="str" s="16" cm="1">
        <f t="array" ref="J28">IF(H28="","Missing",IF(RIGHT(LOWER(TRIM(H28)),4)=".png","Linked","Check: not a .png link"))</f>
        <v>Linked</v>
      </c>
      <c r="K28" s="17" cm="1">
        <f t="array" ref="K28">COUNTIF('Fight_Cards'!$F$2:$F$30,A28)+COUNTIF('Fight_Cards'!$J$2:$J$30,A28)</f>
        <v>1</v>
      </c>
      <c r="L28" s="11"/>
    </row>
    <row r="29" ht="13.65" customHeight="1">
      <c r="A29" t="s" s="12">
        <v>112</v>
      </c>
      <c r="B29" t="s" s="12">
        <v>113</v>
      </c>
      <c r="C29" t="s" s="12">
        <v>77</v>
      </c>
      <c r="D29" t="s" s="12">
        <v>56</v>
      </c>
      <c r="E29" t="s" s="13">
        <v>31</v>
      </c>
      <c r="F29" s="7"/>
      <c r="G29" s="20">
        <v>39</v>
      </c>
      <c r="H29" t="s" s="12">
        <v>114</v>
      </c>
      <c r="I29" t="s" s="12">
        <v>113</v>
      </c>
      <c r="J29" t="str" s="16" cm="1">
        <f t="array" ref="J29">IF(H29="","Missing",IF(RIGHT(LOWER(TRIM(H29)),4)=".png","Linked","Check: not a .png link"))</f>
        <v>Linked</v>
      </c>
      <c r="K29" s="17" cm="1">
        <f t="array" ref="K29">COUNTIF('Fight_Cards'!$F$2:$F$30,A29)+COUNTIF('Fight_Cards'!$J$2:$J$30,A29)</f>
        <v>1</v>
      </c>
      <c r="L29" s="11"/>
    </row>
    <row r="30" ht="13.65" customHeight="1">
      <c r="A30" t="s" s="12">
        <v>115</v>
      </c>
      <c r="B30" t="s" s="12">
        <v>65</v>
      </c>
      <c r="C30" t="s" s="12">
        <v>77</v>
      </c>
      <c r="D30" t="s" s="12">
        <v>56</v>
      </c>
      <c r="E30" t="s" s="13">
        <v>16</v>
      </c>
      <c r="F30" s="7"/>
      <c r="G30" s="20">
        <v>36</v>
      </c>
      <c r="H30" t="s" s="12">
        <v>116</v>
      </c>
      <c r="I30" t="s" s="12">
        <v>65</v>
      </c>
      <c r="J30" t="str" s="16" cm="1">
        <f t="array" ref="J30">IF(H30="","Missing",IF(RIGHT(LOWER(TRIM(H30)),4)=".png","Linked","Check: not a .png link"))</f>
        <v>Linked</v>
      </c>
      <c r="K30" s="17" cm="1">
        <f t="array" ref="K30">COUNTIF('Fight_Cards'!$F$2:$F$30,A30)+COUNTIF('Fight_Cards'!$J$2:$J$30,A30)</f>
        <v>1</v>
      </c>
      <c r="L30" s="11"/>
    </row>
    <row r="31" ht="13.65" customHeight="1">
      <c r="A31" t="s" s="12">
        <v>117</v>
      </c>
      <c r="B31" t="s" s="12">
        <v>118</v>
      </c>
      <c r="C31" t="s" s="12">
        <v>77</v>
      </c>
      <c r="D31" t="s" s="12">
        <v>69</v>
      </c>
      <c r="E31" t="s" s="13">
        <v>16</v>
      </c>
      <c r="F31" s="7"/>
      <c r="G31" s="20">
        <v>11</v>
      </c>
      <c r="H31" t="s" s="12">
        <v>119</v>
      </c>
      <c r="I31" t="s" s="12">
        <v>118</v>
      </c>
      <c r="J31" t="str" s="16" cm="1">
        <f t="array" ref="J31">IF(H31="","Missing",IF(RIGHT(LOWER(TRIM(H31)),4)=".png","Linked","Check: not a .png link"))</f>
        <v>Linked</v>
      </c>
      <c r="K31" s="17" cm="1">
        <f t="array" ref="K31">COUNTIF('Fight_Cards'!$F$2:$F$30,A31)+COUNTIF('Fight_Cards'!$J$2:$J$30,A31)</f>
        <v>1</v>
      </c>
      <c r="L31" s="11"/>
    </row>
    <row r="32" ht="13.65" customHeight="1">
      <c r="A32" t="s" s="12">
        <v>120</v>
      </c>
      <c r="B32" t="s" s="12">
        <v>121</v>
      </c>
      <c r="C32" t="s" s="12">
        <v>77</v>
      </c>
      <c r="D32" t="s" s="12">
        <v>69</v>
      </c>
      <c r="E32" t="s" s="13">
        <v>16</v>
      </c>
      <c r="F32" s="7"/>
      <c r="G32" s="20">
        <v>7</v>
      </c>
      <c r="H32" t="s" s="12">
        <v>122</v>
      </c>
      <c r="I32" t="s" s="12">
        <v>121</v>
      </c>
      <c r="J32" t="str" s="16" cm="1">
        <f t="array" ref="J32">IF(H32="","Missing",IF(RIGHT(LOWER(TRIM(H32)),4)=".png","Linked","Check: not a .png link"))</f>
        <v>Linked</v>
      </c>
      <c r="K32" s="17" cm="1">
        <f t="array" ref="K32">COUNTIF('Fight_Cards'!$F$2:$F$30,A32)+COUNTIF('Fight_Cards'!$J$2:$J$30,A32)</f>
        <v>1</v>
      </c>
      <c r="L32" s="11"/>
    </row>
    <row r="33" ht="13.65" customHeight="1">
      <c r="A33" t="s" s="12">
        <v>123</v>
      </c>
      <c r="B33" t="s" s="12">
        <v>124</v>
      </c>
      <c r="C33" t="s" s="12">
        <v>77</v>
      </c>
      <c r="D33" t="s" s="12">
        <v>125</v>
      </c>
      <c r="E33" t="s" s="13">
        <v>16</v>
      </c>
      <c r="F33" s="7"/>
      <c r="G33" s="20">
        <v>41</v>
      </c>
      <c r="H33" t="s" s="12">
        <v>126</v>
      </c>
      <c r="I33" t="s" s="12">
        <v>124</v>
      </c>
      <c r="J33" t="str" s="16" cm="1">
        <f t="array" ref="J33">IF(H33="","Missing",IF(RIGHT(LOWER(TRIM(H33)),4)=".png","Linked","Check: not a .png link"))</f>
        <v>Linked</v>
      </c>
      <c r="K33" s="17" cm="1">
        <f t="array" ref="K33">COUNTIF('Fight_Cards'!$F$2:$F$30,A33)+COUNTIF('Fight_Cards'!$J$2:$J$30,A33)</f>
        <v>1</v>
      </c>
      <c r="L33" s="11"/>
    </row>
    <row r="34" ht="13.65" customHeight="1">
      <c r="A34" t="s" s="12">
        <v>127</v>
      </c>
      <c r="B34" t="s" s="12">
        <v>128</v>
      </c>
      <c r="C34" t="s" s="12">
        <v>77</v>
      </c>
      <c r="D34" t="s" s="12">
        <v>125</v>
      </c>
      <c r="E34" t="s" s="13">
        <v>31</v>
      </c>
      <c r="F34" s="7"/>
      <c r="G34" s="20">
        <v>64</v>
      </c>
      <c r="H34" t="s" s="12">
        <v>129</v>
      </c>
      <c r="I34" t="s" s="12">
        <v>128</v>
      </c>
      <c r="J34" t="str" s="16" cm="1">
        <f t="array" ref="J34">IF(H34="","Missing",IF(RIGHT(LOWER(TRIM(H34)),4)=".png","Linked","Check: not a .png link"))</f>
        <v>Linked</v>
      </c>
      <c r="K34" s="17" cm="1">
        <f t="array" ref="K34">COUNTIF('Fight_Cards'!$F$2:$F$30,A34)+COUNTIF('Fight_Cards'!$J$2:$J$30,A34)</f>
        <v>1</v>
      </c>
      <c r="L34" s="11"/>
    </row>
    <row r="35" ht="13.65" customHeight="1">
      <c r="A35" t="s" s="12">
        <v>130</v>
      </c>
      <c r="B35" t="s" s="12">
        <v>131</v>
      </c>
      <c r="C35" t="s" s="12">
        <v>77</v>
      </c>
      <c r="D35" t="s" s="12">
        <v>125</v>
      </c>
      <c r="E35" t="s" s="13">
        <v>26</v>
      </c>
      <c r="F35" s="7"/>
      <c r="G35" s="20">
        <v>46</v>
      </c>
      <c r="H35" t="s" s="12">
        <v>132</v>
      </c>
      <c r="I35" t="s" s="12">
        <v>131</v>
      </c>
      <c r="J35" t="str" s="16" cm="1">
        <f t="array" ref="J35">IF(H35="","Missing",IF(RIGHT(LOWER(TRIM(H35)),4)=".png","Linked","Check: not a .png link"))</f>
        <v>Linked</v>
      </c>
      <c r="K35" s="17" cm="1">
        <f t="array" ref="K35">COUNTIF('Fight_Cards'!$F$2:$F$30,A35)+COUNTIF('Fight_Cards'!$J$2:$J$30,A35)</f>
        <v>1</v>
      </c>
      <c r="L35" s="11"/>
    </row>
    <row r="36" ht="13.65" customHeight="1">
      <c r="A36" t="s" s="12">
        <v>133</v>
      </c>
      <c r="B36" t="s" s="12">
        <v>134</v>
      </c>
      <c r="C36" t="s" s="12">
        <v>77</v>
      </c>
      <c r="D36" t="s" s="12">
        <v>125</v>
      </c>
      <c r="E36" t="s" s="13">
        <v>26</v>
      </c>
      <c r="F36" s="7"/>
      <c r="G36" s="20">
        <v>31</v>
      </c>
      <c r="H36" t="s" s="12">
        <v>135</v>
      </c>
      <c r="I36" t="s" s="12">
        <v>134</v>
      </c>
      <c r="J36" t="str" s="16" cm="1">
        <f t="array" ref="J36">IF(H36="","Missing",IF(RIGHT(LOWER(TRIM(H36)),4)=".png","Linked","Check: not a .png link"))</f>
        <v>Linked</v>
      </c>
      <c r="K36" s="17" cm="1">
        <f t="array" ref="K36">COUNTIF('Fight_Cards'!$F$2:$F$30,A36)+COUNTIF('Fight_Cards'!$J$2:$J$30,A36)</f>
        <v>1</v>
      </c>
      <c r="L36" s="11"/>
    </row>
    <row r="37" ht="13.65" customHeight="1">
      <c r="A37" t="s" s="12">
        <v>136</v>
      </c>
      <c r="B37" t="s" s="12">
        <v>137</v>
      </c>
      <c r="C37" t="s" s="12">
        <v>77</v>
      </c>
      <c r="D37" t="s" s="12">
        <v>138</v>
      </c>
      <c r="E37" t="s" s="13">
        <v>26</v>
      </c>
      <c r="F37" s="7"/>
      <c r="G37" s="20">
        <v>13</v>
      </c>
      <c r="H37" t="s" s="12">
        <v>139</v>
      </c>
      <c r="I37" t="s" s="12">
        <v>137</v>
      </c>
      <c r="J37" t="str" s="16" cm="1">
        <f t="array" ref="J37">IF(H37="","Missing",IF(RIGHT(LOWER(TRIM(H37)),4)=".png","Linked","Check: not a .png link"))</f>
        <v>Linked</v>
      </c>
      <c r="K37" s="17" cm="1">
        <f t="array" ref="K37">COUNTIF('Fight_Cards'!$F$2:$F$30,A37)+COUNTIF('Fight_Cards'!$J$2:$J$30,A37)</f>
        <v>1</v>
      </c>
      <c r="L37" s="11"/>
    </row>
    <row r="38" ht="13.65" customHeight="1">
      <c r="A38" t="s" s="12">
        <v>140</v>
      </c>
      <c r="B38" t="s" s="12">
        <v>141</v>
      </c>
      <c r="C38" t="s" s="12">
        <v>142</v>
      </c>
      <c r="D38" t="s" s="12">
        <v>78</v>
      </c>
      <c r="E38" t="s" s="13">
        <v>31</v>
      </c>
      <c r="F38" s="7"/>
      <c r="G38" s="20">
        <v>37</v>
      </c>
      <c r="H38" t="s" s="12">
        <v>143</v>
      </c>
      <c r="I38" t="s" s="12">
        <v>141</v>
      </c>
      <c r="J38" t="str" s="16" cm="1">
        <f t="array" ref="J38">IF(H38="","Missing",IF(RIGHT(LOWER(TRIM(H38)),4)=".png","Linked","Check: not a .png link"))</f>
        <v>Linked</v>
      </c>
      <c r="K38" s="17" cm="1">
        <f t="array" ref="K38">COUNTIF('Fight_Cards'!$F$2:$F$30,A38)+COUNTIF('Fight_Cards'!$J$2:$J$30,A38)</f>
        <v>1</v>
      </c>
      <c r="L38" s="11"/>
    </row>
    <row r="39" ht="13.65" customHeight="1">
      <c r="A39" t="s" s="12">
        <v>144</v>
      </c>
      <c r="B39" t="s" s="12">
        <v>81</v>
      </c>
      <c r="C39" t="s" s="12">
        <v>142</v>
      </c>
      <c r="D39" t="s" s="12">
        <v>15</v>
      </c>
      <c r="E39" t="s" s="13">
        <v>31</v>
      </c>
      <c r="F39" s="7"/>
      <c r="G39" s="20">
        <v>42</v>
      </c>
      <c r="H39" t="s" s="12">
        <v>145</v>
      </c>
      <c r="I39" t="s" s="12">
        <v>81</v>
      </c>
      <c r="J39" t="str" s="16" cm="1">
        <f t="array" ref="J39">IF(H39="","Missing",IF(RIGHT(LOWER(TRIM(H39)),4)=".png","Linked","Check: not a .png link"))</f>
        <v>Linked</v>
      </c>
      <c r="K39" s="17" cm="1">
        <f t="array" ref="K39">COUNTIF('Fight_Cards'!$F$2:$F$30,A39)+COUNTIF('Fight_Cards'!$J$2:$J$30,A39)</f>
        <v>1</v>
      </c>
      <c r="L39" s="11"/>
    </row>
    <row r="40" ht="13.65" customHeight="1">
      <c r="A40" t="s" s="12">
        <v>146</v>
      </c>
      <c r="B40" t="s" s="12">
        <v>147</v>
      </c>
      <c r="C40" t="s" s="12">
        <v>142</v>
      </c>
      <c r="D40" t="s" s="12">
        <v>30</v>
      </c>
      <c r="E40" t="s" s="13">
        <v>22</v>
      </c>
      <c r="F40" s="7"/>
      <c r="G40" s="20">
        <v>27</v>
      </c>
      <c r="H40" t="s" s="12">
        <v>148</v>
      </c>
      <c r="I40" t="s" s="12">
        <v>147</v>
      </c>
      <c r="J40" t="str" s="16" cm="1">
        <f t="array" ref="J40">IF(H40="","Missing",IF(RIGHT(LOWER(TRIM(H40)),4)=".png","Linked","Check: not a .png link"))</f>
        <v>Linked</v>
      </c>
      <c r="K40" s="17" cm="1">
        <f t="array" ref="K40">COUNTIF('Fight_Cards'!$F$2:$F$30,A40)+COUNTIF('Fight_Cards'!$J$2:$J$30,A40)</f>
        <v>1</v>
      </c>
      <c r="L40" s="11"/>
    </row>
    <row r="41" ht="13.65" customHeight="1">
      <c r="A41" t="s" s="12">
        <v>149</v>
      </c>
      <c r="B41" t="s" s="12">
        <v>150</v>
      </c>
      <c r="C41" t="s" s="12">
        <v>142</v>
      </c>
      <c r="D41" t="s" s="12">
        <v>85</v>
      </c>
      <c r="E41" t="s" s="13">
        <v>22</v>
      </c>
      <c r="F41" s="7"/>
      <c r="G41" s="20">
        <v>164</v>
      </c>
      <c r="H41" t="s" s="12">
        <v>151</v>
      </c>
      <c r="I41" t="s" s="12">
        <v>150</v>
      </c>
      <c r="J41" t="str" s="16" cm="1">
        <f t="array" ref="J41">IF(H41="","Missing",IF(RIGHT(LOWER(TRIM(H41)),4)=".png","Linked","Check: not a .png link"))</f>
        <v>Linked</v>
      </c>
      <c r="K41" s="17" cm="1">
        <f t="array" ref="K41">COUNTIF('Fight_Cards'!$F$2:$F$30,A41)+COUNTIF('Fight_Cards'!$J$2:$J$30,A41)</f>
        <v>1</v>
      </c>
      <c r="L41" s="11"/>
    </row>
    <row r="42" ht="13.65" customHeight="1">
      <c r="A42" t="s" s="12">
        <v>152</v>
      </c>
      <c r="B42" t="s" s="12">
        <v>20</v>
      </c>
      <c r="C42" t="s" s="12">
        <v>142</v>
      </c>
      <c r="D42" t="s" s="12">
        <v>42</v>
      </c>
      <c r="E42" t="s" s="13">
        <v>22</v>
      </c>
      <c r="F42" s="7"/>
      <c r="G42" s="20">
        <v>158</v>
      </c>
      <c r="H42" t="s" s="12">
        <v>153</v>
      </c>
      <c r="I42" t="s" s="12">
        <v>20</v>
      </c>
      <c r="J42" t="str" s="16" cm="1">
        <f t="array" ref="J42">IF(H42="","Missing",IF(RIGHT(LOWER(TRIM(H42)),4)=".png","Linked","Check: not a .png link"))</f>
        <v>Linked</v>
      </c>
      <c r="K42" s="17" cm="1">
        <f t="array" ref="K42">COUNTIF('Fight_Cards'!$F$2:$F$30,A42)+COUNTIF('Fight_Cards'!$J$2:$J$30,A42)</f>
        <v>1</v>
      </c>
      <c r="L42" s="11"/>
    </row>
    <row r="43" ht="13.65" customHeight="1">
      <c r="A43" t="s" s="12">
        <v>154</v>
      </c>
      <c r="B43" t="s" s="12">
        <v>155</v>
      </c>
      <c r="C43" t="s" s="12">
        <v>142</v>
      </c>
      <c r="D43" t="s" s="12">
        <v>156</v>
      </c>
      <c r="E43" t="s" s="13">
        <v>26</v>
      </c>
      <c r="F43" s="7"/>
      <c r="G43" s="20">
        <v>9</v>
      </c>
      <c r="H43" t="s" s="12">
        <v>157</v>
      </c>
      <c r="I43" t="s" s="12">
        <v>155</v>
      </c>
      <c r="J43" t="str" s="16" cm="1">
        <f t="array" ref="J43">IF(H43="","Missing",IF(RIGHT(LOWER(TRIM(H43)),4)=".png","Linked","Check: not a .png link"))</f>
        <v>Linked</v>
      </c>
      <c r="K43" s="17" cm="1">
        <f t="array" ref="K43">COUNTIF('Fight_Cards'!$F$2:$F$30,A43)+COUNTIF('Fight_Cards'!$J$2:$J$30,A43)</f>
        <v>1</v>
      </c>
      <c r="L43" s="11"/>
    </row>
    <row r="44" ht="13.65" customHeight="1">
      <c r="A44" t="s" s="12">
        <v>158</v>
      </c>
      <c r="B44" t="s" s="12">
        <v>159</v>
      </c>
      <c r="C44" t="s" s="12">
        <v>142</v>
      </c>
      <c r="D44" t="s" s="12">
        <v>160</v>
      </c>
      <c r="E44" t="s" s="13">
        <v>16</v>
      </c>
      <c r="F44" s="7"/>
      <c r="G44" s="20">
        <v>5</v>
      </c>
      <c r="H44" t="s" s="12">
        <v>161</v>
      </c>
      <c r="I44" t="s" s="12">
        <v>159</v>
      </c>
      <c r="J44" t="str" s="16" cm="1">
        <f t="array" ref="J44">IF(H44="","Missing",IF(RIGHT(LOWER(TRIM(H44)),4)=".png","Linked","Check: not a .png link"))</f>
        <v>Linked</v>
      </c>
      <c r="K44" s="17" cm="1">
        <f t="array" ref="K44">COUNTIF('Fight_Cards'!$F$2:$F$30,A44)+COUNTIF('Fight_Cards'!$J$2:$J$30,A44)</f>
        <v>1</v>
      </c>
      <c r="L44" s="11"/>
    </row>
    <row r="45" ht="13.65" customHeight="1">
      <c r="A45" t="s" s="12">
        <v>162</v>
      </c>
      <c r="B45" t="s" s="12">
        <v>163</v>
      </c>
      <c r="C45" t="s" s="12">
        <v>142</v>
      </c>
      <c r="D45" t="s" s="12">
        <v>138</v>
      </c>
      <c r="E45" t="s" s="13">
        <v>16</v>
      </c>
      <c r="F45" s="7"/>
      <c r="G45" s="20">
        <v>25</v>
      </c>
      <c r="H45" t="s" s="12">
        <v>164</v>
      </c>
      <c r="I45" t="s" s="12">
        <v>163</v>
      </c>
      <c r="J45" t="str" s="16" cm="1">
        <f t="array" ref="J45">IF(H45="","Missing",IF(RIGHT(LOWER(TRIM(H45)),4)=".png","Linked","Check: not a .png link"))</f>
        <v>Linked</v>
      </c>
      <c r="K45" s="17" cm="1">
        <f t="array" ref="K45">COUNTIF('Fight_Cards'!$F$2:$F$30,A45)+COUNTIF('Fight_Cards'!$J$2:$J$30,A45)</f>
        <v>1</v>
      </c>
      <c r="L45" s="11"/>
    </row>
    <row r="46" ht="13.65" customHeight="1">
      <c r="A46" t="s" s="12">
        <v>165</v>
      </c>
      <c r="B46" t="s" s="12">
        <v>88</v>
      </c>
      <c r="C46" t="s" s="12">
        <v>166</v>
      </c>
      <c r="D46" t="s" s="12">
        <v>85</v>
      </c>
      <c r="E46" t="s" s="13">
        <v>26</v>
      </c>
      <c r="F46" s="7"/>
      <c r="G46" s="20">
        <v>94</v>
      </c>
      <c r="H46" t="s" s="12">
        <v>167</v>
      </c>
      <c r="I46" t="s" s="12">
        <v>88</v>
      </c>
      <c r="J46" t="str" s="16" cm="1">
        <f t="array" ref="J46">IF(H46="","Missing",IF(RIGHT(LOWER(TRIM(H46)),4)=".png","Linked","Check: not a .png link"))</f>
        <v>Linked</v>
      </c>
      <c r="K46" s="17" cm="1">
        <f t="array" ref="K46">COUNTIF('Fight_Cards'!$F$2:$F$30,A46)+COUNTIF('Fight_Cards'!$J$2:$J$30,A46)</f>
        <v>1</v>
      </c>
      <c r="L46" s="11"/>
    </row>
    <row r="47" ht="13.65" customHeight="1">
      <c r="A47" t="s" s="12">
        <v>168</v>
      </c>
      <c r="B47" t="s" s="12">
        <v>169</v>
      </c>
      <c r="C47" t="s" s="12">
        <v>166</v>
      </c>
      <c r="D47" t="s" s="12">
        <v>85</v>
      </c>
      <c r="E47" t="s" s="13">
        <v>16</v>
      </c>
      <c r="F47" s="7"/>
      <c r="G47" s="20">
        <v>71</v>
      </c>
      <c r="H47" t="s" s="12">
        <v>170</v>
      </c>
      <c r="I47" t="s" s="12">
        <v>169</v>
      </c>
      <c r="J47" t="str" s="16" cm="1">
        <f t="array" ref="J47">IF(H47="","Missing",IF(RIGHT(LOWER(TRIM(H47)),4)=".png","Linked","Check: not a .png link"))</f>
        <v>Linked</v>
      </c>
      <c r="K47" s="17" cm="1">
        <f t="array" ref="K47">COUNTIF('Fight_Cards'!$F$2:$F$30,A47)+COUNTIF('Fight_Cards'!$J$2:$J$30,A47)</f>
        <v>1</v>
      </c>
      <c r="L47" s="11"/>
    </row>
    <row r="48" ht="13.65" customHeight="1">
      <c r="A48" t="s" s="12">
        <v>171</v>
      </c>
      <c r="B48" t="s" s="12">
        <v>172</v>
      </c>
      <c r="C48" t="s" s="12">
        <v>166</v>
      </c>
      <c r="D48" t="s" s="12">
        <v>42</v>
      </c>
      <c r="E48" t="s" s="13">
        <v>22</v>
      </c>
      <c r="F48" s="7"/>
      <c r="G48" s="20">
        <v>33</v>
      </c>
      <c r="H48" t="s" s="12">
        <v>173</v>
      </c>
      <c r="I48" t="s" s="12">
        <v>172</v>
      </c>
      <c r="J48" t="str" s="16" cm="1">
        <f t="array" ref="J48">IF(H48="","Missing",IF(RIGHT(LOWER(TRIM(H48)),4)=".png","Linked","Check: not a .png link"))</f>
        <v>Linked</v>
      </c>
      <c r="K48" s="17" cm="1">
        <f t="array" ref="K48">COUNTIF('Fight_Cards'!$F$2:$F$30,A48)+COUNTIF('Fight_Cards'!$J$2:$J$30,A48)</f>
        <v>1</v>
      </c>
      <c r="L48" s="11"/>
    </row>
    <row r="49" ht="13.65" customHeight="1">
      <c r="A49" t="s" s="12">
        <v>174</v>
      </c>
      <c r="B49" t="s" s="12">
        <v>131</v>
      </c>
      <c r="C49" t="s" s="12">
        <v>166</v>
      </c>
      <c r="D49" t="s" s="12">
        <v>125</v>
      </c>
      <c r="E49" t="s" s="13">
        <v>26</v>
      </c>
      <c r="F49" s="7"/>
      <c r="G49" s="20">
        <v>46</v>
      </c>
      <c r="H49" t="s" s="12">
        <v>175</v>
      </c>
      <c r="I49" t="s" s="12">
        <v>131</v>
      </c>
      <c r="J49" t="str" s="16" cm="1">
        <f t="array" ref="J49">IF(H49="","Missing",IF(RIGHT(LOWER(TRIM(H49)),4)=".png","Linked","Check: not a .png link"))</f>
        <v>Linked</v>
      </c>
      <c r="K49" s="17" cm="1">
        <f t="array" ref="K49">COUNTIF('Fight_Cards'!$F$2:$F$30,A49)+COUNTIF('Fight_Cards'!$J$2:$J$30,A49)</f>
        <v>1</v>
      </c>
      <c r="L49" s="11"/>
    </row>
    <row r="50" ht="13.65" customHeight="1">
      <c r="A50" t="s" s="12">
        <v>176</v>
      </c>
      <c r="B50" t="s" s="12">
        <v>177</v>
      </c>
      <c r="C50" t="s" s="12">
        <v>178</v>
      </c>
      <c r="D50" t="s" s="12">
        <v>179</v>
      </c>
      <c r="E50" t="s" s="13">
        <v>22</v>
      </c>
      <c r="F50" s="7"/>
      <c r="G50" s="20">
        <v>17</v>
      </c>
      <c r="H50" t="s" s="12">
        <v>180</v>
      </c>
      <c r="I50" t="s" s="12">
        <v>177</v>
      </c>
      <c r="J50" t="str" s="16" cm="1">
        <f t="array" ref="J50">IF(H50="","Missing",IF(RIGHT(LOWER(TRIM(H50)),4)=".png","Linked","Check: not a .png link"))</f>
        <v>Linked</v>
      </c>
      <c r="K50" s="17" cm="1">
        <f t="array" ref="K50">COUNTIF('Fight_Cards'!$F$2:$F$30,A50)+COUNTIF('Fight_Cards'!$J$2:$J$30,A50)</f>
        <v>1</v>
      </c>
      <c r="L50" s="11"/>
    </row>
    <row r="51" ht="13.65" customHeight="1">
      <c r="A51" t="s" s="12">
        <v>181</v>
      </c>
      <c r="B51" t="s" s="12">
        <v>182</v>
      </c>
      <c r="C51" t="s" s="12">
        <v>178</v>
      </c>
      <c r="D51" t="s" s="12">
        <v>78</v>
      </c>
      <c r="E51" t="s" s="13">
        <v>16</v>
      </c>
      <c r="F51" s="7"/>
      <c r="G51" s="20">
        <v>11</v>
      </c>
      <c r="H51" t="s" s="12">
        <v>183</v>
      </c>
      <c r="I51" t="s" s="12">
        <v>182</v>
      </c>
      <c r="J51" t="str" s="16" cm="1">
        <f t="array" ref="J51">IF(H51="","Missing",IF(RIGHT(LOWER(TRIM(H51)),4)=".png","Linked","Check: not a .png link"))</f>
        <v>Linked</v>
      </c>
      <c r="K51" s="17" cm="1">
        <f t="array" ref="K51">COUNTIF('Fight_Cards'!$F$2:$F$30,A51)+COUNTIF('Fight_Cards'!$J$2:$J$30,A51)</f>
        <v>1</v>
      </c>
      <c r="L51" s="11"/>
    </row>
    <row r="52" ht="13.65" customHeight="1">
      <c r="A52" t="s" s="12">
        <v>184</v>
      </c>
      <c r="B52" t="s" s="12">
        <v>185</v>
      </c>
      <c r="C52" t="s" s="12">
        <v>178</v>
      </c>
      <c r="D52" t="s" s="12">
        <v>186</v>
      </c>
      <c r="E52" t="s" s="13">
        <v>26</v>
      </c>
      <c r="F52" s="7"/>
      <c r="G52" s="20">
        <v>67</v>
      </c>
      <c r="H52" t="s" s="12">
        <v>187</v>
      </c>
      <c r="I52" t="s" s="12">
        <v>185</v>
      </c>
      <c r="J52" t="str" s="16" cm="1">
        <f t="array" ref="J52">IF(H52="","Missing",IF(RIGHT(LOWER(TRIM(H52)),4)=".png","Linked","Check: not a .png link"))</f>
        <v>Linked</v>
      </c>
      <c r="K52" s="17" cm="1">
        <f t="array" ref="K52">COUNTIF('Fight_Cards'!$F$2:$F$30,A52)+COUNTIF('Fight_Cards'!$J$2:$J$30,A52)</f>
        <v>1</v>
      </c>
      <c r="L52" s="11"/>
    </row>
    <row r="53" ht="13.65" customHeight="1">
      <c r="A53" t="s" s="12">
        <v>188</v>
      </c>
      <c r="B53" t="s" s="12">
        <v>189</v>
      </c>
      <c r="C53" t="s" s="12">
        <v>178</v>
      </c>
      <c r="D53" t="s" s="12">
        <v>15</v>
      </c>
      <c r="E53" t="s" s="13">
        <v>16</v>
      </c>
      <c r="F53" s="7"/>
      <c r="G53" s="20">
        <v>33</v>
      </c>
      <c r="H53" t="s" s="12">
        <v>190</v>
      </c>
      <c r="I53" t="s" s="12">
        <v>189</v>
      </c>
      <c r="J53" t="str" s="16" cm="1">
        <f t="array" ref="J53">IF(H53="","Missing",IF(RIGHT(LOWER(TRIM(H53)),4)=".png","Linked","Check: not a .png link"))</f>
        <v>Linked</v>
      </c>
      <c r="K53" s="17" cm="1">
        <f t="array" ref="K53">COUNTIF('Fight_Cards'!$F$2:$F$30,A53)+COUNTIF('Fight_Cards'!$J$2:$J$30,A53)</f>
        <v>1</v>
      </c>
      <c r="L53" s="11"/>
    </row>
    <row r="54" ht="13.65" customHeight="1">
      <c r="A54" t="s" s="12">
        <v>191</v>
      </c>
      <c r="B54" t="s" s="12">
        <v>192</v>
      </c>
      <c r="C54" t="s" s="12">
        <v>178</v>
      </c>
      <c r="D54" t="s" s="12">
        <v>85</v>
      </c>
      <c r="E54" t="s" s="13">
        <v>31</v>
      </c>
      <c r="F54" s="7"/>
      <c r="G54" s="20">
        <v>35</v>
      </c>
      <c r="H54" t="s" s="12">
        <v>193</v>
      </c>
      <c r="I54" t="s" s="12">
        <v>192</v>
      </c>
      <c r="J54" t="str" s="16" cm="1">
        <f t="array" ref="J54">IF(H54="","Missing",IF(RIGHT(LOWER(TRIM(H54)),4)=".png","Linked","Check: not a .png link"))</f>
        <v>Linked</v>
      </c>
      <c r="K54" s="17" cm="1">
        <f t="array" ref="K54">COUNTIF('Fight_Cards'!$F$2:$F$30,A54)+COUNTIF('Fight_Cards'!$J$2:$J$30,A54)</f>
        <v>1</v>
      </c>
      <c r="L54" s="11"/>
    </row>
    <row r="55" ht="13.65" customHeight="1">
      <c r="A55" t="s" s="12">
        <v>194</v>
      </c>
      <c r="B55" t="s" s="12">
        <v>195</v>
      </c>
      <c r="C55" t="s" s="12">
        <v>178</v>
      </c>
      <c r="D55" t="s" s="12">
        <v>196</v>
      </c>
      <c r="E55" t="s" s="13">
        <v>22</v>
      </c>
      <c r="F55" s="7"/>
      <c r="G55" s="20">
        <v>13</v>
      </c>
      <c r="H55" t="s" s="12">
        <v>197</v>
      </c>
      <c r="I55" t="s" s="12">
        <v>195</v>
      </c>
      <c r="J55" t="str" s="16" cm="1">
        <f t="array" ref="J55">IF(H55="","Missing",IF(RIGHT(LOWER(TRIM(H55)),4)=".png","Linked","Check: not a .png link"))</f>
        <v>Linked</v>
      </c>
      <c r="K55" s="17" cm="1">
        <f t="array" ref="K55">COUNTIF('Fight_Cards'!$F$2:$F$30,A55)+COUNTIF('Fight_Cards'!$J$2:$J$30,A55)</f>
        <v>1</v>
      </c>
      <c r="L55" s="11"/>
    </row>
    <row r="56" ht="13.65" customHeight="1">
      <c r="A56" t="s" s="12">
        <v>198</v>
      </c>
      <c r="B56" t="s" s="12">
        <v>199</v>
      </c>
      <c r="C56" t="s" s="12">
        <v>178</v>
      </c>
      <c r="D56" t="s" s="12">
        <v>200</v>
      </c>
      <c r="E56" t="s" s="13">
        <v>22</v>
      </c>
      <c r="F56" s="7"/>
      <c r="G56" s="20">
        <v>19</v>
      </c>
      <c r="H56" t="s" s="12">
        <v>201</v>
      </c>
      <c r="I56" t="s" s="12">
        <v>199</v>
      </c>
      <c r="J56" t="str" s="16" cm="1">
        <f t="array" ref="J56">IF(H56="","Missing",IF(RIGHT(LOWER(TRIM(H56)),4)=".png","Linked","Check: not a .png link"))</f>
        <v>Linked</v>
      </c>
      <c r="K56" s="17" cm="1">
        <f t="array" ref="K56">COUNTIF('Fight_Cards'!$F$2:$F$30,A56)+COUNTIF('Fight_Cards'!$J$2:$J$30,A56)</f>
        <v>1</v>
      </c>
      <c r="L56" s="11"/>
    </row>
    <row r="57" ht="13.65" customHeight="1">
      <c r="A57" t="s" s="12">
        <v>202</v>
      </c>
      <c r="B57" t="s" s="12">
        <v>55</v>
      </c>
      <c r="C57" t="s" s="12">
        <v>178</v>
      </c>
      <c r="D57" t="s" s="12">
        <v>56</v>
      </c>
      <c r="E57" t="s" s="13">
        <v>22</v>
      </c>
      <c r="F57" s="21"/>
      <c r="G57" s="20">
        <v>45</v>
      </c>
      <c r="H57" t="s" s="12">
        <v>203</v>
      </c>
      <c r="I57" t="s" s="12">
        <v>55</v>
      </c>
      <c r="J57" t="str" s="16" cm="1">
        <f t="array" ref="J57">IF(H57="","Missing",IF(RIGHT(LOWER(TRIM(H57)),4)=".png","Linked","Check: not a .png link"))</f>
        <v>Linked</v>
      </c>
      <c r="K57" s="17" cm="1">
        <f t="array" ref="K57">COUNTIF('Fight_Cards'!$F$2:$F$30,A57)+COUNTIF('Fight_Cards'!$J$2:$J$30,A57)</f>
        <v>1</v>
      </c>
      <c r="L57" s="22"/>
    </row>
  </sheetData>
  <conditionalFormatting sqref="J2:J57">
    <cfRule type="cellIs" dxfId="0" priority="1" operator="equal" stopIfTrue="1">
      <formula>"Linked"</formula>
    </cfRule>
    <cfRule type="cellIs" dxfId="1" priority="2" operator="equal" stopIfTrue="1">
      <formula>"Missing"</formula>
    </cfRule>
  </conditionalFormatting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L30"/>
  <sheetViews>
    <sheetView workbookViewId="0" showGridLines="0" defaultGridColor="1"/>
  </sheetViews>
  <sheetFormatPr defaultColWidth="8.66667" defaultRowHeight="15" customHeight="1" outlineLevelRow="0" outlineLevelCol="0"/>
  <cols>
    <col min="1" max="1" width="10" style="23" customWidth="1"/>
    <col min="2" max="2" width="9" style="23" customWidth="1"/>
    <col min="3" max="3" width="12" style="23" customWidth="1"/>
    <col min="4" max="4" width="22" style="23" customWidth="1"/>
    <col min="5" max="5" width="8" style="23" customWidth="1"/>
    <col min="6" max="6" width="34" style="23" customWidth="1"/>
    <col min="7" max="7" width="16" style="23" customWidth="1"/>
    <col min="8" max="8" width="22" style="23" customWidth="1"/>
    <col min="9" max="9" width="8" style="23" customWidth="1"/>
    <col min="10" max="10" width="34" style="23" customWidth="1"/>
    <col min="11" max="11" width="16" style="23" customWidth="1"/>
    <col min="12" max="12" width="14" style="23" customWidth="1"/>
    <col min="13" max="16384" width="8.67188" style="23" customWidth="1"/>
  </cols>
  <sheetData>
    <row r="1" ht="24.65" customHeight="1">
      <c r="A1" t="s" s="2">
        <v>204</v>
      </c>
      <c r="B1" t="s" s="3">
        <v>2</v>
      </c>
      <c r="C1" t="s" s="3">
        <v>205</v>
      </c>
      <c r="D1" t="s" s="3">
        <v>206</v>
      </c>
      <c r="E1" t="s" s="3">
        <v>207</v>
      </c>
      <c r="F1" t="s" s="3">
        <v>208</v>
      </c>
      <c r="G1" t="s" s="3">
        <v>209</v>
      </c>
      <c r="H1" t="s" s="3">
        <v>210</v>
      </c>
      <c r="I1" t="s" s="3">
        <v>211</v>
      </c>
      <c r="J1" t="s" s="3">
        <v>212</v>
      </c>
      <c r="K1" t="s" s="3">
        <v>213</v>
      </c>
      <c r="L1" t="s" s="4">
        <v>214</v>
      </c>
    </row>
    <row r="2" ht="13.65" customHeight="1">
      <c r="A2" t="s" s="5">
        <v>215</v>
      </c>
      <c r="B2" t="s" s="5">
        <v>14</v>
      </c>
      <c r="C2" s="24">
        <v>44683</v>
      </c>
      <c r="D2" t="s" s="5">
        <v>59</v>
      </c>
      <c r="E2" t="s" s="5">
        <v>56</v>
      </c>
      <c r="F2" t="s" s="5">
        <v>58</v>
      </c>
      <c r="G2" t="str" s="9" cm="1">
        <f t="array" ref="G2">INDEX('Cards'!$J$2:$J$57,MATCH(F2,'Cards'!$A$2:$A$57,0))</f>
        <v>Linked</v>
      </c>
      <c r="H2" t="s" s="5">
        <v>68</v>
      </c>
      <c r="I2" t="s" s="5">
        <v>69</v>
      </c>
      <c r="J2" t="s" s="5">
        <v>67</v>
      </c>
      <c r="K2" t="str" s="9" cm="1">
        <f t="array" ref="K2">INDEX('Cards'!$J$2:$J$57,MATCH(J2,'Cards'!$A$2:$A$57,0))</f>
        <v>Linked</v>
      </c>
      <c r="L2" t="str" s="9" cm="1">
        <f t="array" ref="L2">IF(AND(G2="Linked",K2="Linked"),"Yes","No")</f>
        <v>Yes</v>
      </c>
    </row>
    <row r="3" ht="13.65" customHeight="1">
      <c r="A3" t="s" s="12">
        <v>218</v>
      </c>
      <c r="B3" t="s" s="12">
        <v>14</v>
      </c>
      <c r="C3" s="25">
        <v>44684</v>
      </c>
      <c r="D3" t="s" s="12">
        <v>38</v>
      </c>
      <c r="E3" t="s" s="12">
        <v>35</v>
      </c>
      <c r="F3" t="s" s="12">
        <v>37</v>
      </c>
      <c r="G3" t="str" s="16" cm="1">
        <f t="array" ref="G3">INDEX('Cards'!$J$2:$J$57,MATCH(F3,'Cards'!$A$2:$A$57,0))</f>
        <v>Linked</v>
      </c>
      <c r="H3" t="s" s="12">
        <v>20</v>
      </c>
      <c r="I3" t="s" s="12">
        <v>21</v>
      </c>
      <c r="J3" t="s" s="12">
        <v>19</v>
      </c>
      <c r="K3" t="str" s="16" cm="1">
        <f t="array" ref="K3">INDEX('Cards'!$J$2:$J$57,MATCH(J3,'Cards'!$A$2:$A$57,0))</f>
        <v>Linked</v>
      </c>
      <c r="L3" t="str" s="16" cm="1">
        <f t="array" ref="L3">IF(AND(G3="Linked",K3="Linked"),"Yes","No")</f>
        <v>Yes</v>
      </c>
    </row>
    <row r="4" ht="13.65" customHeight="1">
      <c r="A4" t="s" s="12">
        <v>219</v>
      </c>
      <c r="B4" t="s" s="12">
        <v>14</v>
      </c>
      <c r="C4" s="25">
        <v>44684</v>
      </c>
      <c r="D4" t="s" s="12">
        <v>34</v>
      </c>
      <c r="E4" t="s" s="12">
        <v>35</v>
      </c>
      <c r="F4" t="s" s="12">
        <v>33</v>
      </c>
      <c r="G4" t="str" s="16" cm="1">
        <f t="array" ref="G4">INDEX('Cards'!$J$2:$J$57,MATCH(F4,'Cards'!$A$2:$A$57,0))</f>
        <v>Linked</v>
      </c>
      <c r="H4" t="s" s="12">
        <v>25</v>
      </c>
      <c r="I4" t="s" s="12">
        <v>21</v>
      </c>
      <c r="J4" t="s" s="12">
        <v>24</v>
      </c>
      <c r="K4" t="str" s="16" cm="1">
        <f t="array" ref="K4">INDEX('Cards'!$J$2:$J$57,MATCH(J4,'Cards'!$A$2:$A$57,0))</f>
        <v>Linked</v>
      </c>
      <c r="L4" t="str" s="16" cm="1">
        <f t="array" ref="L4">IF(AND(G4="Linked",K4="Linked"),"Yes","No")</f>
        <v>Yes</v>
      </c>
    </row>
    <row r="5" ht="13.65" customHeight="1">
      <c r="A5" t="s" s="12">
        <v>220</v>
      </c>
      <c r="B5" t="s" s="12">
        <v>14</v>
      </c>
      <c r="C5" s="25">
        <v>44688</v>
      </c>
      <c r="D5" t="s" s="12">
        <v>20</v>
      </c>
      <c r="E5" t="s" s="12">
        <v>21</v>
      </c>
      <c r="F5" t="s" s="12">
        <v>19</v>
      </c>
      <c r="G5" t="str" s="16" cm="1">
        <f t="array" ref="G5">INDEX('Cards'!$J$2:$J$57,MATCH(F5,'Cards'!$A$2:$A$57,0))</f>
        <v>Linked</v>
      </c>
      <c r="H5" t="s" s="12">
        <v>34</v>
      </c>
      <c r="I5" t="s" s="12">
        <v>35</v>
      </c>
      <c r="J5" t="s" s="12">
        <v>33</v>
      </c>
      <c r="K5" t="str" s="16" cm="1">
        <f t="array" ref="K5">INDEX('Cards'!$J$2:$J$57,MATCH(J5,'Cards'!$A$2:$A$57,0))</f>
        <v>Linked</v>
      </c>
      <c r="L5" t="str" s="16" cm="1">
        <f t="array" ref="L5">IF(AND(G5="Linked",K5="Linked"),"Yes","No")</f>
        <v>Yes</v>
      </c>
    </row>
    <row r="6" ht="13.65" customHeight="1">
      <c r="A6" t="s" s="12">
        <v>221</v>
      </c>
      <c r="B6" t="s" s="12">
        <v>14</v>
      </c>
      <c r="C6" s="25">
        <v>44692</v>
      </c>
      <c r="D6" t="s" s="12">
        <v>72</v>
      </c>
      <c r="E6" t="s" s="12">
        <v>73</v>
      </c>
      <c r="F6" t="s" s="12">
        <v>71</v>
      </c>
      <c r="G6" t="str" s="16" cm="1">
        <f t="array" ref="G6">INDEX('Cards'!$J$2:$J$57,MATCH(F6,'Cards'!$A$2:$A$57,0))</f>
        <v>Linked</v>
      </c>
      <c r="H6" t="s" s="12">
        <v>41</v>
      </c>
      <c r="I6" t="s" s="12">
        <v>42</v>
      </c>
      <c r="J6" t="s" s="12">
        <v>40</v>
      </c>
      <c r="K6" t="str" s="16" cm="1">
        <f t="array" ref="K6">INDEX('Cards'!$J$2:$J$57,MATCH(J6,'Cards'!$A$2:$A$57,0))</f>
        <v>Linked</v>
      </c>
      <c r="L6" t="str" s="16" cm="1">
        <f t="array" ref="L6">IF(AND(G6="Linked",K6="Linked"),"Yes","No")</f>
        <v>Yes</v>
      </c>
    </row>
    <row r="7" ht="13.65" customHeight="1">
      <c r="A7" t="s" s="12">
        <v>222</v>
      </c>
      <c r="B7" t="s" s="12">
        <v>14</v>
      </c>
      <c r="C7" s="25">
        <v>44705</v>
      </c>
      <c r="D7" t="s" s="12">
        <v>13</v>
      </c>
      <c r="E7" t="s" s="12">
        <v>15</v>
      </c>
      <c r="F7" t="s" s="12">
        <v>12</v>
      </c>
      <c r="G7" t="str" s="16" cm="1">
        <f t="array" ref="G7">INDEX('Cards'!$J$2:$J$57,MATCH(F7,'Cards'!$A$2:$A$57,0))</f>
        <v>Linked</v>
      </c>
      <c r="H7" t="s" s="12">
        <v>52</v>
      </c>
      <c r="I7" t="s" s="12">
        <v>46</v>
      </c>
      <c r="J7" t="s" s="12">
        <v>51</v>
      </c>
      <c r="K7" t="str" s="16" cm="1">
        <f t="array" ref="K7">INDEX('Cards'!$J$2:$J$57,MATCH(J7,'Cards'!$A$2:$A$57,0))</f>
        <v>Linked</v>
      </c>
      <c r="L7" t="str" s="16" cm="1">
        <f t="array" ref="L7">IF(AND(G7="Linked",K7="Linked"),"Yes","No")</f>
        <v>Yes</v>
      </c>
    </row>
    <row r="8" ht="13.65" customHeight="1">
      <c r="A8" t="s" s="12">
        <v>223</v>
      </c>
      <c r="B8" t="s" s="12">
        <v>14</v>
      </c>
      <c r="C8" s="25">
        <v>44719</v>
      </c>
      <c r="D8" t="s" s="12">
        <v>49</v>
      </c>
      <c r="E8" t="s" s="12">
        <v>46</v>
      </c>
      <c r="F8" t="s" s="12">
        <v>48</v>
      </c>
      <c r="G8" t="str" s="16" cm="1">
        <f t="array" ref="G8">INDEX('Cards'!$J$2:$J$57,MATCH(F8,'Cards'!$A$2:$A$57,0))</f>
        <v>Linked</v>
      </c>
      <c r="H8" t="s" s="12">
        <v>55</v>
      </c>
      <c r="I8" t="s" s="12">
        <v>56</v>
      </c>
      <c r="J8" t="s" s="12">
        <v>54</v>
      </c>
      <c r="K8" t="str" s="16" cm="1">
        <f t="array" ref="K8">INDEX('Cards'!$J$2:$J$57,MATCH(J8,'Cards'!$A$2:$A$57,0))</f>
        <v>Linked</v>
      </c>
      <c r="L8" t="str" s="16" cm="1">
        <f t="array" ref="L8">IF(AND(G8="Linked",K8="Linked"),"Yes","No")</f>
        <v>Yes</v>
      </c>
    </row>
    <row r="9" ht="13.65" customHeight="1">
      <c r="A9" t="s" s="12">
        <v>224</v>
      </c>
      <c r="B9" t="s" s="12">
        <v>14</v>
      </c>
      <c r="C9" s="25">
        <v>44721</v>
      </c>
      <c r="D9" t="s" s="12">
        <v>65</v>
      </c>
      <c r="E9" t="s" s="12">
        <v>56</v>
      </c>
      <c r="F9" t="s" s="12">
        <v>64</v>
      </c>
      <c r="G9" t="str" s="16" cm="1">
        <f t="array" ref="G9">INDEX('Cards'!$J$2:$J$57,MATCH(F9,'Cards'!$A$2:$A$57,0))</f>
        <v>Linked</v>
      </c>
      <c r="H9" t="s" s="12">
        <v>45</v>
      </c>
      <c r="I9" t="s" s="12">
        <v>46</v>
      </c>
      <c r="J9" t="s" s="12">
        <v>44</v>
      </c>
      <c r="K9" t="str" s="16" cm="1">
        <f t="array" ref="K9">INDEX('Cards'!$J$2:$J$57,MATCH(J9,'Cards'!$A$2:$A$57,0))</f>
        <v>Linked</v>
      </c>
      <c r="L9" t="str" s="16" cm="1">
        <f t="array" ref="L9">IF(AND(G9="Linked",K9="Linked"),"Yes","No")</f>
        <v>Yes</v>
      </c>
    </row>
    <row r="10" ht="13.65" customHeight="1">
      <c r="A10" t="s" s="12">
        <v>225</v>
      </c>
      <c r="B10" t="s" s="12">
        <v>14</v>
      </c>
      <c r="C10" s="25">
        <v>44732</v>
      </c>
      <c r="D10" t="s" s="12">
        <v>29</v>
      </c>
      <c r="E10" t="s" s="12">
        <v>30</v>
      </c>
      <c r="F10" t="s" s="12">
        <v>28</v>
      </c>
      <c r="G10" t="str" s="16" cm="1">
        <f t="array" ref="G10">INDEX('Cards'!$J$2:$J$57,MATCH(F10,'Cards'!$A$2:$A$57,0))</f>
        <v>Linked</v>
      </c>
      <c r="H10" t="s" s="12">
        <v>62</v>
      </c>
      <c r="I10" t="s" s="12">
        <v>56</v>
      </c>
      <c r="J10" t="s" s="12">
        <v>61</v>
      </c>
      <c r="K10" t="str" s="16" cm="1">
        <f t="array" ref="K10">INDEX('Cards'!$J$2:$J$57,MATCH(J10,'Cards'!$A$2:$A$57,0))</f>
        <v>Linked</v>
      </c>
      <c r="L10" t="str" s="16" cm="1">
        <f t="array" ref="L10">IF(AND(G10="Linked",K10="Linked"),"Yes","No")</f>
        <v>Yes</v>
      </c>
    </row>
    <row r="11" ht="13.65" customHeight="1">
      <c r="A11" t="s" s="12">
        <v>226</v>
      </c>
      <c r="B11" t="s" s="12">
        <v>77</v>
      </c>
      <c r="C11" s="25">
        <v>45036</v>
      </c>
      <c r="D11" t="s" s="12">
        <v>110</v>
      </c>
      <c r="E11" t="s" s="12">
        <v>46</v>
      </c>
      <c r="F11" t="s" s="12">
        <v>109</v>
      </c>
      <c r="G11" t="str" s="16" cm="1">
        <f t="array" ref="G11">INDEX('Cards'!$J$2:$J$57,MATCH(F11,'Cards'!$A$2:$A$57,0))</f>
        <v>Linked</v>
      </c>
      <c r="H11" t="s" s="12">
        <v>104</v>
      </c>
      <c r="I11" t="s" s="12">
        <v>98</v>
      </c>
      <c r="J11" t="s" s="12">
        <v>103</v>
      </c>
      <c r="K11" t="str" s="16" cm="1">
        <f t="array" ref="K11">INDEX('Cards'!$J$2:$J$57,MATCH(J11,'Cards'!$A$2:$A$57,0))</f>
        <v>Linked</v>
      </c>
      <c r="L11" t="str" s="16" cm="1">
        <f t="array" ref="L11">IF(AND(G11="Linked",K11="Linked"),"Yes","No")</f>
        <v>Yes</v>
      </c>
    </row>
    <row r="12" ht="13.65" customHeight="1">
      <c r="A12" t="s" s="12">
        <v>227</v>
      </c>
      <c r="B12" t="s" s="12">
        <v>77</v>
      </c>
      <c r="C12" s="25">
        <v>45038</v>
      </c>
      <c r="D12" t="s" s="12">
        <v>121</v>
      </c>
      <c r="E12" t="s" s="12">
        <v>69</v>
      </c>
      <c r="F12" t="s" s="12">
        <v>120</v>
      </c>
      <c r="G12" t="str" s="16" cm="1">
        <f t="array" ref="G12">INDEX('Cards'!$J$2:$J$57,MATCH(F12,'Cards'!$A$2:$A$57,0))</f>
        <v>Linked</v>
      </c>
      <c r="H12" t="s" s="12">
        <v>113</v>
      </c>
      <c r="I12" t="s" s="12">
        <v>56</v>
      </c>
      <c r="J12" t="s" s="12">
        <v>112</v>
      </c>
      <c r="K12" t="str" s="16" cm="1">
        <f t="array" ref="K12">INDEX('Cards'!$J$2:$J$57,MATCH(J12,'Cards'!$A$2:$A$57,0))</f>
        <v>Linked</v>
      </c>
      <c r="L12" t="str" s="16" cm="1">
        <f t="array" ref="L12">IF(AND(G12="Linked",K12="Linked"),"Yes","No")</f>
        <v>Yes</v>
      </c>
    </row>
    <row r="13" ht="13.65" customHeight="1">
      <c r="A13" t="s" s="12">
        <v>228</v>
      </c>
      <c r="B13" t="s" s="12">
        <v>77</v>
      </c>
      <c r="C13" s="25">
        <v>45038</v>
      </c>
      <c r="D13" t="s" s="12">
        <v>118</v>
      </c>
      <c r="E13" t="s" s="12">
        <v>69</v>
      </c>
      <c r="F13" t="s" s="12">
        <v>117</v>
      </c>
      <c r="G13" t="str" s="16" cm="1">
        <f t="array" ref="G13">INDEX('Cards'!$J$2:$J$57,MATCH(F13,'Cards'!$A$2:$A$57,0))</f>
        <v>Linked</v>
      </c>
      <c r="H13" t="s" s="12">
        <v>65</v>
      </c>
      <c r="I13" t="s" s="12">
        <v>56</v>
      </c>
      <c r="J13" t="s" s="12">
        <v>115</v>
      </c>
      <c r="K13" t="str" s="16" cm="1">
        <f t="array" ref="K13">INDEX('Cards'!$J$2:$J$57,MATCH(J13,'Cards'!$A$2:$A$57,0))</f>
        <v>Linked</v>
      </c>
      <c r="L13" t="str" s="16" cm="1">
        <f t="array" ref="L13">IF(AND(G13="Linked",K13="Linked"),"Yes","No")</f>
        <v>Yes</v>
      </c>
    </row>
    <row r="14" ht="13.65" customHeight="1">
      <c r="A14" t="s" s="12">
        <v>229</v>
      </c>
      <c r="B14" t="s" s="12">
        <v>77</v>
      </c>
      <c r="C14" s="25">
        <v>45038</v>
      </c>
      <c r="D14" t="s" s="12">
        <v>128</v>
      </c>
      <c r="E14" t="s" s="12">
        <v>125</v>
      </c>
      <c r="F14" t="s" s="12">
        <v>127</v>
      </c>
      <c r="G14" t="str" s="16" cm="1">
        <f t="array" ref="G14">INDEX('Cards'!$J$2:$J$57,MATCH(F14,'Cards'!$A$2:$A$57,0))</f>
        <v>Linked</v>
      </c>
      <c r="H14" t="s" s="12">
        <v>137</v>
      </c>
      <c r="I14" t="s" s="12">
        <v>138</v>
      </c>
      <c r="J14" t="s" s="12">
        <v>136</v>
      </c>
      <c r="K14" t="str" s="16" cm="1">
        <f t="array" ref="K14">INDEX('Cards'!$J$2:$J$57,MATCH(J14,'Cards'!$A$2:$A$57,0))</f>
        <v>Linked</v>
      </c>
      <c r="L14" t="str" s="16" cm="1">
        <f t="array" ref="L14">IF(AND(G14="Linked",K14="Linked"),"Yes","No")</f>
        <v>Yes</v>
      </c>
    </row>
    <row r="15" ht="13.65" customHeight="1">
      <c r="A15" t="s" s="12">
        <v>230</v>
      </c>
      <c r="B15" t="s" s="12">
        <v>77</v>
      </c>
      <c r="C15" s="25">
        <v>45039</v>
      </c>
      <c r="D15" t="s" s="12">
        <v>76</v>
      </c>
      <c r="E15" t="s" s="12">
        <v>78</v>
      </c>
      <c r="F15" t="s" s="12">
        <v>75</v>
      </c>
      <c r="G15" t="str" s="16" cm="1">
        <f t="array" ref="G15">INDEX('Cards'!$J$2:$J$57,MATCH(F15,'Cards'!$A$2:$A$57,0))</f>
        <v>Linked</v>
      </c>
      <c r="H15" t="s" s="12">
        <v>94</v>
      </c>
      <c r="I15" t="s" s="12">
        <v>42</v>
      </c>
      <c r="J15" t="s" s="12">
        <v>93</v>
      </c>
      <c r="K15" t="str" s="16" cm="1">
        <f t="array" ref="K15">INDEX('Cards'!$J$2:$J$57,MATCH(J15,'Cards'!$A$2:$A$57,0))</f>
        <v>Linked</v>
      </c>
      <c r="L15" t="str" s="16" cm="1">
        <f t="array" ref="L15">IF(AND(G15="Linked",K15="Linked"),"Yes","No")</f>
        <v>Yes</v>
      </c>
    </row>
    <row r="16" ht="13.65" customHeight="1">
      <c r="A16" t="s" s="12">
        <v>231</v>
      </c>
      <c r="B16" t="s" s="12">
        <v>77</v>
      </c>
      <c r="C16" s="25">
        <v>45043</v>
      </c>
      <c r="D16" t="s" s="12">
        <v>107</v>
      </c>
      <c r="E16" t="s" s="12">
        <v>46</v>
      </c>
      <c r="F16" t="s" s="12">
        <v>106</v>
      </c>
      <c r="G16" t="str" s="16" cm="1">
        <f t="array" ref="G16">INDEX('Cards'!$J$2:$J$57,MATCH(F16,'Cards'!$A$2:$A$57,0))</f>
        <v>Linked</v>
      </c>
      <c r="H16" t="s" s="12">
        <v>101</v>
      </c>
      <c r="I16" t="s" s="12">
        <v>98</v>
      </c>
      <c r="J16" t="s" s="12">
        <v>100</v>
      </c>
      <c r="K16" t="str" s="16" cm="1">
        <f t="array" ref="K16">INDEX('Cards'!$J$2:$J$57,MATCH(J16,'Cards'!$A$2:$A$57,0))</f>
        <v>Linked</v>
      </c>
      <c r="L16" t="str" s="16" cm="1">
        <f t="array" ref="L16">IF(AND(G16="Linked",K16="Linked"),"Yes","No")</f>
        <v>Yes</v>
      </c>
    </row>
    <row r="17" ht="13.65" customHeight="1">
      <c r="A17" t="s" s="12">
        <v>232</v>
      </c>
      <c r="B17" t="s" s="12">
        <v>77</v>
      </c>
      <c r="C17" s="25">
        <v>45052</v>
      </c>
      <c r="D17" t="s" s="12">
        <v>91</v>
      </c>
      <c r="E17" t="s" s="12">
        <v>85</v>
      </c>
      <c r="F17" t="s" s="12">
        <v>90</v>
      </c>
      <c r="G17" t="str" s="16" cm="1">
        <f t="array" ref="G17">INDEX('Cards'!$J$2:$J$57,MATCH(F17,'Cards'!$A$2:$A$57,0))</f>
        <v>Linked</v>
      </c>
      <c r="H17" t="s" s="12">
        <v>134</v>
      </c>
      <c r="I17" t="s" s="12">
        <v>125</v>
      </c>
      <c r="J17" t="s" s="12">
        <v>133</v>
      </c>
      <c r="K17" t="str" s="16" cm="1">
        <f t="array" ref="K17">INDEX('Cards'!$J$2:$J$57,MATCH(J17,'Cards'!$A$2:$A$57,0))</f>
        <v>Linked</v>
      </c>
      <c r="L17" t="str" s="16" cm="1">
        <f t="array" ref="L17">IF(AND(G17="Linked",K17="Linked"),"Yes","No")</f>
        <v>Yes</v>
      </c>
    </row>
    <row r="18" ht="13.65" customHeight="1">
      <c r="A18" t="s" s="12">
        <v>233</v>
      </c>
      <c r="B18" t="s" s="12">
        <v>77</v>
      </c>
      <c r="C18" s="25">
        <v>45052</v>
      </c>
      <c r="D18" t="s" s="12">
        <v>84</v>
      </c>
      <c r="E18" t="s" s="12">
        <v>85</v>
      </c>
      <c r="F18" t="s" s="12">
        <v>83</v>
      </c>
      <c r="G18" t="str" s="16" cm="1">
        <f t="array" ref="G18">INDEX('Cards'!$J$2:$J$57,MATCH(F18,'Cards'!$A$2:$A$57,0))</f>
        <v>Linked</v>
      </c>
      <c r="H18" t="s" s="12">
        <v>124</v>
      </c>
      <c r="I18" t="s" s="12">
        <v>125</v>
      </c>
      <c r="J18" t="s" s="12">
        <v>123</v>
      </c>
      <c r="K18" t="str" s="16" cm="1">
        <f t="array" ref="K18">INDEX('Cards'!$J$2:$J$57,MATCH(J18,'Cards'!$A$2:$A$57,0))</f>
        <v>Linked</v>
      </c>
      <c r="L18" t="str" s="16" cm="1">
        <f t="array" ref="L18">IF(AND(G18="Linked",K18="Linked"),"Yes","No")</f>
        <v>Yes</v>
      </c>
    </row>
    <row r="19" ht="13.65" customHeight="1">
      <c r="A19" t="s" s="12">
        <v>234</v>
      </c>
      <c r="B19" t="s" s="12">
        <v>77</v>
      </c>
      <c r="C19" s="25">
        <v>45053</v>
      </c>
      <c r="D19" t="s" s="12">
        <v>81</v>
      </c>
      <c r="E19" t="s" s="12">
        <v>15</v>
      </c>
      <c r="F19" t="s" s="12">
        <v>80</v>
      </c>
      <c r="G19" t="str" s="16" cm="1">
        <f t="array" ref="G19">INDEX('Cards'!$J$2:$J$57,MATCH(F19,'Cards'!$A$2:$A$57,0))</f>
        <v>Linked</v>
      </c>
      <c r="H19" t="s" s="12">
        <v>97</v>
      </c>
      <c r="I19" t="s" s="12">
        <v>98</v>
      </c>
      <c r="J19" t="s" s="12">
        <v>96</v>
      </c>
      <c r="K19" t="str" s="16" cm="1">
        <f t="array" ref="K19">INDEX('Cards'!$J$2:$J$57,MATCH(J19,'Cards'!$A$2:$A$57,0))</f>
        <v>Linked</v>
      </c>
      <c r="L19" t="str" s="16" cm="1">
        <f t="array" ref="L19">IF(AND(G19="Linked",K19="Linked"),"Yes","No")</f>
        <v>Yes</v>
      </c>
    </row>
    <row r="20" ht="13.65" customHeight="1">
      <c r="A20" t="s" s="12">
        <v>235</v>
      </c>
      <c r="B20" t="s" s="12">
        <v>77</v>
      </c>
      <c r="C20" s="25">
        <v>45056</v>
      </c>
      <c r="D20" t="s" s="12">
        <v>131</v>
      </c>
      <c r="E20" t="s" s="12">
        <v>125</v>
      </c>
      <c r="F20" t="s" s="12">
        <v>130</v>
      </c>
      <c r="G20" t="str" s="16" cm="1">
        <f t="array" ref="G20">INDEX('Cards'!$J$2:$J$57,MATCH(F20,'Cards'!$A$2:$A$57,0))</f>
        <v>Linked</v>
      </c>
      <c r="H20" t="s" s="12">
        <v>88</v>
      </c>
      <c r="I20" t="s" s="12">
        <v>85</v>
      </c>
      <c r="J20" t="s" s="12">
        <v>87</v>
      </c>
      <c r="K20" t="str" s="16" cm="1">
        <f t="array" ref="K20">INDEX('Cards'!$J$2:$J$57,MATCH(J20,'Cards'!$A$2:$A$57,0))</f>
        <v>Linked</v>
      </c>
      <c r="L20" t="str" s="16" cm="1">
        <f t="array" ref="L20">IF(AND(G20="Linked",K20="Linked"),"Yes","No")</f>
        <v>Yes</v>
      </c>
    </row>
    <row r="21" ht="13.65" customHeight="1">
      <c r="A21" t="s" s="12">
        <v>236</v>
      </c>
      <c r="B21" t="s" s="12">
        <v>142</v>
      </c>
      <c r="C21" s="25">
        <v>45404</v>
      </c>
      <c r="D21" t="s" s="12">
        <v>159</v>
      </c>
      <c r="E21" t="s" s="12">
        <v>160</v>
      </c>
      <c r="F21" t="s" s="12">
        <v>158</v>
      </c>
      <c r="G21" t="str" s="16" cm="1">
        <f t="array" ref="G21">INDEX('Cards'!$J$2:$J$57,MATCH(F21,'Cards'!$A$2:$A$57,0))</f>
        <v>Linked</v>
      </c>
      <c r="H21" t="s" s="12">
        <v>81</v>
      </c>
      <c r="I21" t="s" s="12">
        <v>15</v>
      </c>
      <c r="J21" t="s" s="12">
        <v>144</v>
      </c>
      <c r="K21" t="str" s="16" cm="1">
        <f t="array" ref="K21">INDEX('Cards'!$J$2:$J$57,MATCH(J21,'Cards'!$A$2:$A$57,0))</f>
        <v>Linked</v>
      </c>
      <c r="L21" t="str" s="16" cm="1">
        <f t="array" ref="L21">IF(AND(G21="Linked",K21="Linked"),"Yes","No")</f>
        <v>Yes</v>
      </c>
    </row>
    <row r="22" ht="13.65" customHeight="1">
      <c r="A22" t="s" s="12">
        <v>237</v>
      </c>
      <c r="B22" t="s" s="12">
        <v>142</v>
      </c>
      <c r="C22" s="25">
        <v>45408</v>
      </c>
      <c r="D22" t="s" s="12">
        <v>150</v>
      </c>
      <c r="E22" t="s" s="12">
        <v>85</v>
      </c>
      <c r="F22" t="s" s="12">
        <v>149</v>
      </c>
      <c r="G22" t="str" s="16" cm="1">
        <f t="array" ref="G22">INDEX('Cards'!$J$2:$J$57,MATCH(F22,'Cards'!$A$2:$A$57,0))</f>
        <v>Linked</v>
      </c>
      <c r="H22" t="s" s="12">
        <v>155</v>
      </c>
      <c r="I22" t="s" s="12">
        <v>156</v>
      </c>
      <c r="J22" t="s" s="12">
        <v>154</v>
      </c>
      <c r="K22" t="str" s="16" cm="1">
        <f t="array" ref="K22">INDEX('Cards'!$J$2:$J$57,MATCH(J22,'Cards'!$A$2:$A$57,0))</f>
        <v>Linked</v>
      </c>
      <c r="L22" t="str" s="16" cm="1">
        <f t="array" ref="L22">IF(AND(G22="Linked",K22="Linked"),"Yes","No")</f>
        <v>Yes</v>
      </c>
    </row>
    <row r="23" ht="13.65" customHeight="1">
      <c r="A23" t="s" s="12">
        <v>238</v>
      </c>
      <c r="B23" t="s" s="12">
        <v>142</v>
      </c>
      <c r="C23" s="25">
        <v>45408</v>
      </c>
      <c r="D23" t="s" s="12">
        <v>163</v>
      </c>
      <c r="E23" t="s" s="12">
        <v>138</v>
      </c>
      <c r="F23" t="s" s="12">
        <v>162</v>
      </c>
      <c r="G23" t="str" s="16" cm="1">
        <f t="array" ref="G23">INDEX('Cards'!$J$2:$J$57,MATCH(F23,'Cards'!$A$2:$A$57,0))</f>
        <v>Linked</v>
      </c>
      <c r="H23" t="s" s="12">
        <v>147</v>
      </c>
      <c r="I23" t="s" s="12">
        <v>30</v>
      </c>
      <c r="J23" t="s" s="12">
        <v>146</v>
      </c>
      <c r="K23" t="str" s="16" cm="1">
        <f t="array" ref="K23">INDEX('Cards'!$J$2:$J$57,MATCH(J23,'Cards'!$A$2:$A$57,0))</f>
        <v>Linked</v>
      </c>
      <c r="L23" t="str" s="16" cm="1">
        <f t="array" ref="L23">IF(AND(G23="Linked",K23="Linked"),"Yes","No")</f>
        <v>Yes</v>
      </c>
    </row>
    <row r="24" ht="13.65" customHeight="1">
      <c r="A24" t="s" s="12">
        <v>239</v>
      </c>
      <c r="B24" t="s" s="12">
        <v>142</v>
      </c>
      <c r="C24" s="25">
        <v>45420</v>
      </c>
      <c r="D24" t="s" s="12">
        <v>141</v>
      </c>
      <c r="E24" t="s" s="12">
        <v>78</v>
      </c>
      <c r="F24" t="s" s="12">
        <v>140</v>
      </c>
      <c r="G24" t="str" s="16" cm="1">
        <f t="array" ref="G24">INDEX('Cards'!$J$2:$J$57,MATCH(F24,'Cards'!$A$2:$A$57,0))</f>
        <v>Linked</v>
      </c>
      <c r="H24" t="s" s="12">
        <v>20</v>
      </c>
      <c r="I24" t="s" s="12">
        <v>42</v>
      </c>
      <c r="J24" t="s" s="12">
        <v>152</v>
      </c>
      <c r="K24" t="str" s="16" cm="1">
        <f t="array" ref="K24">INDEX('Cards'!$J$2:$J$57,MATCH(J24,'Cards'!$A$2:$A$57,0))</f>
        <v>Linked</v>
      </c>
      <c r="L24" t="str" s="16" cm="1">
        <f t="array" ref="L24">IF(AND(G24="Linked",K24="Linked"),"Yes","No")</f>
        <v>Yes</v>
      </c>
    </row>
    <row r="25" ht="13.65" customHeight="1">
      <c r="A25" t="s" s="12">
        <v>240</v>
      </c>
      <c r="B25" t="s" s="12">
        <v>166</v>
      </c>
      <c r="C25" s="25">
        <v>45789</v>
      </c>
      <c r="D25" t="s" s="12">
        <v>131</v>
      </c>
      <c r="E25" t="s" s="12">
        <v>125</v>
      </c>
      <c r="F25" t="s" s="12">
        <v>174</v>
      </c>
      <c r="G25" t="str" s="16" cm="1">
        <f t="array" ref="G25">INDEX('Cards'!$J$2:$J$57,MATCH(F25,'Cards'!$A$2:$A$57,0))</f>
        <v>Linked</v>
      </c>
      <c r="H25" t="s" s="12">
        <v>169</v>
      </c>
      <c r="I25" t="s" s="12">
        <v>85</v>
      </c>
      <c r="J25" t="s" s="12">
        <v>168</v>
      </c>
      <c r="K25" t="str" s="16" cm="1">
        <f t="array" ref="K25">INDEX('Cards'!$J$2:$J$57,MATCH(J25,'Cards'!$A$2:$A$57,0))</f>
        <v>Linked</v>
      </c>
      <c r="L25" t="str" s="16" cm="1">
        <f t="array" ref="L25">IF(AND(G25="Linked",K25="Linked"),"Yes","No")</f>
        <v>Yes</v>
      </c>
    </row>
    <row r="26" ht="13.65" customHeight="1">
      <c r="A26" t="s" s="12">
        <v>241</v>
      </c>
      <c r="B26" t="s" s="12">
        <v>166</v>
      </c>
      <c r="C26" s="25">
        <v>45817</v>
      </c>
      <c r="D26" t="s" s="12">
        <v>88</v>
      </c>
      <c r="E26" t="s" s="12">
        <v>85</v>
      </c>
      <c r="F26" t="s" s="12">
        <v>165</v>
      </c>
      <c r="G26" t="str" s="16" cm="1">
        <f t="array" ref="G26">INDEX('Cards'!$J$2:$J$57,MATCH(F26,'Cards'!$A$2:$A$57,0))</f>
        <v>Linked</v>
      </c>
      <c r="H26" t="s" s="12">
        <v>172</v>
      </c>
      <c r="I26" t="s" s="12">
        <v>42</v>
      </c>
      <c r="J26" t="s" s="12">
        <v>171</v>
      </c>
      <c r="K26" t="str" s="16" cm="1">
        <f t="array" ref="K26">INDEX('Cards'!$J$2:$J$57,MATCH(J26,'Cards'!$A$2:$A$57,0))</f>
        <v>Linked</v>
      </c>
      <c r="L26" t="str" s="16" cm="1">
        <f t="array" ref="L26">IF(AND(G26="Linked",K26="Linked"),"Yes","No")</f>
        <v>Yes</v>
      </c>
    </row>
    <row r="27" ht="13.65" customHeight="1">
      <c r="A27" t="s" s="12">
        <v>242</v>
      </c>
      <c r="B27" t="s" s="12">
        <v>178</v>
      </c>
      <c r="C27" s="25">
        <v>46130</v>
      </c>
      <c r="D27" t="s" s="12">
        <v>199</v>
      </c>
      <c r="E27" t="s" s="12">
        <v>200</v>
      </c>
      <c r="F27" t="s" s="12">
        <v>198</v>
      </c>
      <c r="G27" t="str" s="16" cm="1">
        <f t="array" ref="G27">INDEX('Cards'!$J$2:$J$57,MATCH(F27,'Cards'!$A$2:$A$57,0))</f>
        <v>Linked</v>
      </c>
      <c r="H27" t="s" s="12">
        <v>189</v>
      </c>
      <c r="I27" t="s" s="12">
        <v>15</v>
      </c>
      <c r="J27" t="s" s="12">
        <v>188</v>
      </c>
      <c r="K27" t="str" s="16" cm="1">
        <f t="array" ref="K27">INDEX('Cards'!$J$2:$J$57,MATCH(J27,'Cards'!$A$2:$A$57,0))</f>
        <v>Linked</v>
      </c>
      <c r="L27" t="str" s="16" cm="1">
        <f t="array" ref="L27">IF(AND(G27="Linked",K27="Linked"),"Yes","No")</f>
        <v>Yes</v>
      </c>
    </row>
    <row r="28" ht="13.65" customHeight="1">
      <c r="A28" t="s" s="12">
        <v>243</v>
      </c>
      <c r="B28" t="s" s="12">
        <v>178</v>
      </c>
      <c r="C28" s="25">
        <v>46133</v>
      </c>
      <c r="D28" t="s" s="12">
        <v>182</v>
      </c>
      <c r="E28" t="s" s="12">
        <v>78</v>
      </c>
      <c r="F28" t="s" s="12">
        <v>181</v>
      </c>
      <c r="G28" t="str" s="16" cm="1">
        <f t="array" ref="G28">INDEX('Cards'!$J$2:$J$57,MATCH(F28,'Cards'!$A$2:$A$57,0))</f>
        <v>Linked</v>
      </c>
      <c r="H28" t="s" s="12">
        <v>185</v>
      </c>
      <c r="I28" t="s" s="12">
        <v>186</v>
      </c>
      <c r="J28" t="s" s="12">
        <v>184</v>
      </c>
      <c r="K28" t="str" s="16" cm="1">
        <f t="array" ref="K28">INDEX('Cards'!$J$2:$J$57,MATCH(J28,'Cards'!$A$2:$A$57,0))</f>
        <v>Linked</v>
      </c>
      <c r="L28" t="str" s="16" cm="1">
        <f t="array" ref="L28">IF(AND(G28="Linked",K28="Linked"),"Yes","No")</f>
        <v>Yes</v>
      </c>
    </row>
    <row r="29" ht="13.65" customHeight="1">
      <c r="A29" t="s" s="12">
        <v>244</v>
      </c>
      <c r="B29" t="s" s="12">
        <v>178</v>
      </c>
      <c r="C29" s="25">
        <v>46133</v>
      </c>
      <c r="D29" t="s" s="12">
        <v>195</v>
      </c>
      <c r="E29" t="s" s="12">
        <v>196</v>
      </c>
      <c r="F29" t="s" s="12">
        <v>194</v>
      </c>
      <c r="G29" t="str" s="16" cm="1">
        <f t="array" ref="G29">INDEX('Cards'!$J$2:$J$57,MATCH(F29,'Cards'!$A$2:$A$57,0))</f>
        <v>Linked</v>
      </c>
      <c r="H29" t="s" s="12">
        <v>55</v>
      </c>
      <c r="I29" t="s" s="12">
        <v>56</v>
      </c>
      <c r="J29" t="s" s="12">
        <v>202</v>
      </c>
      <c r="K29" t="str" s="16" cm="1">
        <f t="array" ref="K29">INDEX('Cards'!$J$2:$J$57,MATCH(J29,'Cards'!$A$2:$A$57,0))</f>
        <v>Linked</v>
      </c>
      <c r="L29" t="str" s="16" cm="1">
        <f t="array" ref="L29">IF(AND(G29="Linked",K29="Linked"),"Yes","No")</f>
        <v>Yes</v>
      </c>
    </row>
    <row r="30" ht="13.65" customHeight="1">
      <c r="A30" t="s" s="12">
        <v>245</v>
      </c>
      <c r="B30" t="s" s="12">
        <v>178</v>
      </c>
      <c r="C30" s="25">
        <v>46136</v>
      </c>
      <c r="D30" t="s" s="12">
        <v>192</v>
      </c>
      <c r="E30" t="s" s="12">
        <v>85</v>
      </c>
      <c r="F30" t="s" s="12">
        <v>191</v>
      </c>
      <c r="G30" t="str" s="16" cm="1">
        <f t="array" ref="G30">INDEX('Cards'!$J$2:$J$57,MATCH(F30,'Cards'!$A$2:$A$57,0))</f>
        <v>Linked</v>
      </c>
      <c r="H30" t="s" s="12">
        <v>177</v>
      </c>
      <c r="I30" t="s" s="12">
        <v>179</v>
      </c>
      <c r="J30" t="s" s="12">
        <v>176</v>
      </c>
      <c r="K30" t="str" s="16" cm="1">
        <f t="array" ref="K30">INDEX('Cards'!$J$2:$J$57,MATCH(J30,'Cards'!$A$2:$A$57,0))</f>
        <v>Linked</v>
      </c>
      <c r="L30" t="str" s="16" cm="1">
        <f t="array" ref="L30">IF(AND(G30="Linked",K30="Linked"),"Yes","No")</f>
        <v>Yes</v>
      </c>
    </row>
  </sheetData>
  <conditionalFormatting sqref="G2:G30 K2:K30">
    <cfRule type="cellIs" dxfId="2" priority="1" operator="equal" stopIfTrue="1">
      <formula>"Linked"</formula>
    </cfRule>
    <cfRule type="cellIs" dxfId="3" priority="2" operator="equal" stopIfTrue="1">
      <formula>"Missing"</formula>
    </cfRule>
  </conditionalFormatting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6"/>
  <sheetViews>
    <sheetView workbookViewId="0" showGridLines="0" defaultGridColor="1"/>
  </sheetViews>
  <sheetFormatPr defaultColWidth="8.66667" defaultRowHeight="15" customHeight="1" outlineLevelRow="0" outlineLevelCol="0"/>
  <cols>
    <col min="1" max="1" width="120" style="26" customWidth="1"/>
    <col min="2" max="2" width="10" style="26" customWidth="1"/>
    <col min="3" max="5" width="8.67188" style="26" customWidth="1"/>
    <col min="6" max="16384" width="8.67188" style="26" customWidth="1"/>
  </cols>
  <sheetData>
    <row r="1" ht="13.65" customHeight="1">
      <c r="A1" t="s" s="27">
        <v>246</v>
      </c>
      <c r="B1" s="28"/>
      <c r="C1" s="28"/>
      <c r="D1" s="28"/>
      <c r="E1" s="28"/>
    </row>
    <row r="2" ht="13.65" customHeight="1">
      <c r="A2" t="s" s="27">
        <v>247</v>
      </c>
      <c r="B2" s="28"/>
      <c r="C2" s="28"/>
      <c r="D2" s="28"/>
      <c r="E2" s="28"/>
    </row>
    <row r="3" ht="24.65" customHeight="1">
      <c r="A3" t="s" s="27">
        <v>248</v>
      </c>
      <c r="B3" s="28"/>
      <c r="C3" s="28"/>
      <c r="D3" s="28"/>
      <c r="E3" s="28"/>
    </row>
    <row r="4" ht="13.65" customHeight="1">
      <c r="A4" t="s" s="27">
        <v>249</v>
      </c>
      <c r="B4" s="28"/>
      <c r="C4" s="28"/>
      <c r="D4" s="28"/>
      <c r="E4" s="28"/>
    </row>
    <row r="5" ht="13.65" customHeight="1">
      <c r="A5" t="s" s="27">
        <v>250</v>
      </c>
      <c r="B5" s="28"/>
      <c r="C5" s="28"/>
      <c r="D5" s="28"/>
      <c r="E5" s="28"/>
    </row>
    <row r="6" ht="13.65" customHeight="1">
      <c r="A6" s="29"/>
      <c r="B6" s="28"/>
      <c r="C6" s="28"/>
      <c r="D6" s="28"/>
      <c r="E6" s="28"/>
    </row>
    <row r="7" ht="13.65" customHeight="1">
      <c r="A7" t="s" s="27">
        <v>251</v>
      </c>
      <c r="B7" s="28"/>
      <c r="C7" s="28"/>
      <c r="D7" s="28"/>
      <c r="E7" s="28"/>
    </row>
    <row r="8" ht="13.65" customHeight="1">
      <c r="A8" t="s" s="27">
        <v>252</v>
      </c>
      <c r="B8" s="28"/>
      <c r="C8" s="28"/>
      <c r="D8" s="28"/>
      <c r="E8" s="28"/>
    </row>
    <row r="9" ht="24.65" customHeight="1">
      <c r="A9" t="s" s="27">
        <v>253</v>
      </c>
      <c r="B9" s="28"/>
      <c r="C9" s="28"/>
      <c r="D9" s="28"/>
      <c r="E9" s="28"/>
    </row>
    <row r="10" ht="13.65" customHeight="1">
      <c r="A10" t="s" s="27">
        <v>254</v>
      </c>
      <c r="B10" s="28"/>
      <c r="C10" s="28"/>
      <c r="D10" s="28"/>
      <c r="E10" s="28"/>
    </row>
    <row r="11" ht="13.65" customHeight="1">
      <c r="A11" s="29"/>
      <c r="B11" s="28"/>
      <c r="C11" s="28"/>
      <c r="D11" s="28"/>
      <c r="E11" s="28"/>
    </row>
    <row r="12" ht="13.65" customHeight="1">
      <c r="A12" t="s" s="27">
        <v>255</v>
      </c>
      <c r="B12" s="28"/>
      <c r="C12" s="28"/>
      <c r="D12" s="28"/>
      <c r="E12" s="28"/>
    </row>
    <row r="13" ht="13.65" customHeight="1">
      <c r="A13" t="s" s="27">
        <v>256</v>
      </c>
      <c r="B13" s="30" cm="1">
        <f t="array" ref="B13">COUNTA('Cards'!A2:A57)</f>
        <v>56</v>
      </c>
      <c r="C13" s="28"/>
      <c r="D13" s="28"/>
      <c r="E13" s="28"/>
    </row>
    <row r="14" ht="13.65" customHeight="1">
      <c r="A14" t="s" s="27">
        <v>257</v>
      </c>
      <c r="B14" s="30" cm="1">
        <f t="array" ref="B14">COUNTIF('Cards'!J2:J57,"Linked")</f>
        <v>56</v>
      </c>
      <c r="C14" s="28"/>
      <c r="D14" s="28"/>
      <c r="E14" s="28"/>
    </row>
    <row r="15" ht="13.65" customHeight="1">
      <c r="A15" t="s" s="27">
        <v>258</v>
      </c>
      <c r="B15" s="30" cm="1">
        <f t="array" ref="B15">COUNTIF('Cards'!J2:J57,"Missing")</f>
        <v>0</v>
      </c>
      <c r="C15" s="28"/>
      <c r="D15" s="28"/>
      <c r="E15" s="28"/>
    </row>
    <row r="16" ht="13.65" customHeight="1">
      <c r="A16" t="s" s="27">
        <v>259</v>
      </c>
      <c r="B16" s="30" cm="1">
        <f t="array" ref="B16">COUNTIF('Fight_Cards'!L2:L30,"Yes")</f>
        <v>29</v>
      </c>
      <c r="C16" s="28"/>
      <c r="D16" s="28"/>
      <c r="E16" s="28"/>
    </row>
  </sheetData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