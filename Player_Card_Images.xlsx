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rds" sheetId="1" state="visible" r:id="rId3"/>
    <sheet name="Fight_Cards" sheetId="2" state="visible" r:id="rId4"/>
    <sheet name="Notes" sheetId="3" state="visible" r:id="rId5"/>
  </sheets>
  <definedNames>
    <definedName function="false" hidden="true" localSheetId="0" name="_xlnm._FilterDatabase" vbProcedure="false">Cards!$A$1:$L$57</definedName>
    <definedName function="false" hidden="true" localSheetId="1" name="_xlnm._FilterDatabase" vbProcedure="false">Fight_Cards!$A$1:$L$30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<sst xmlns="http://schemas.openxmlformats.org/spreadsheetml/2006/main" count="550" uniqueCount="201">
  <si>
    <t xml:space="preserve">Card ID</t>
  </si>
  <si>
    <t xml:space="preserve">Player</t>
  </si>
  <si>
    <t xml:space="preserve">Season</t>
  </si>
  <si>
    <t xml:space="preserve">Team</t>
  </si>
  <si>
    <t xml:space="preserve">Position</t>
  </si>
  <si>
    <t xml:space="preserve">Jersey Number</t>
  </si>
  <si>
    <t xml:space="preserve">PIM* (5-season playoff total)</t>
  </si>
  <si>
    <t xml:space="preserve">Card Image URL (.png)</t>
  </si>
  <si>
    <t xml:space="preserve">Alt Text (optional)</t>
  </si>
  <si>
    <t xml:space="preserve">Image Status</t>
  </si>
  <si>
    <t xml:space="preserve">Fights Using Card</t>
  </si>
  <si>
    <t xml:space="preserve">Notes</t>
  </si>
  <si>
    <t xml:space="preserve">2021-22_CAR_Steven-Lorentz</t>
  </si>
  <si>
    <t xml:space="preserve">Steven Lorentz</t>
  </si>
  <si>
    <t xml:space="preserve">2021-22</t>
  </si>
  <si>
    <t xml:space="preserve">CAR</t>
  </si>
  <si>
    <t xml:space="preserve">C</t>
  </si>
  <si>
    <t xml:space="preserve">2021-22_CGY_Matthew-Tkachuk</t>
  </si>
  <si>
    <t xml:space="preserve">Matthew Tkachuk</t>
  </si>
  <si>
    <t xml:space="preserve">CGY</t>
  </si>
  <si>
    <t xml:space="preserve">L</t>
  </si>
  <si>
    <t xml:space="preserve">2021-22_CGY_Rasmus-Andersson</t>
  </si>
  <si>
    <t xml:space="preserve">Rasmus Andersson</t>
  </si>
  <si>
    <t xml:space="preserve">D</t>
  </si>
  <si>
    <t xml:space="preserve">2021-22_COL_Logan-O-Connor</t>
  </si>
  <si>
    <t xml:space="preserve">Logan O'Connor</t>
  </si>
  <si>
    <t xml:space="preserve">COL</t>
  </si>
  <si>
    <t xml:space="preserve">R</t>
  </si>
  <si>
    <t xml:space="preserve">2021-22_DAL_John-Klingberg</t>
  </si>
  <si>
    <t xml:space="preserve">John Klingberg</t>
  </si>
  <si>
    <t xml:space="preserve">DAL</t>
  </si>
  <si>
    <t xml:space="preserve">2021-22_DAL_Michael-Raffl</t>
  </si>
  <si>
    <t xml:space="preserve">Michael Raffl</t>
  </si>
  <si>
    <t xml:space="preserve">2021-22_FLA_Aaron-Ekblad</t>
  </si>
  <si>
    <t xml:space="preserve">Aaron Ekblad</t>
  </si>
  <si>
    <t xml:space="preserve">FLA</t>
  </si>
  <si>
    <t xml:space="preserve">2021-22_NYR_Alexis-Lafreniere</t>
  </si>
  <si>
    <t xml:space="preserve">Alexis Lafrenière</t>
  </si>
  <si>
    <t xml:space="preserve">NYR</t>
  </si>
  <si>
    <t xml:space="preserve">2021-22_NYR_Frank-Vatrano</t>
  </si>
  <si>
    <t xml:space="preserve">Frank Vatrano</t>
  </si>
  <si>
    <t xml:space="preserve">2021-22_NYR_Jacob-Trouba</t>
  </si>
  <si>
    <t xml:space="preserve">Jacob Trouba</t>
  </si>
  <si>
    <t xml:space="preserve">2021-22_TBL_Brandon-Hagel</t>
  </si>
  <si>
    <t xml:space="preserve">Brandon Hagel</t>
  </si>
  <si>
    <t xml:space="preserve">TBL</t>
  </si>
  <si>
    <t xml:space="preserve">2021-22_TBL_Jan-Rutta</t>
  </si>
  <si>
    <t xml:space="preserve">Jan Rutta</t>
  </si>
  <si>
    <t xml:space="preserve">2021-22_TBL_Ross-Colton</t>
  </si>
  <si>
    <t xml:space="preserve">Ross Colton</t>
  </si>
  <si>
    <t xml:space="preserve">2021-22_TBL_Steven-Stamkos</t>
  </si>
  <si>
    <t xml:space="preserve">Steven Stamkos</t>
  </si>
  <si>
    <t xml:space="preserve">2021-22_TOR_Morgan-Rielly</t>
  </si>
  <si>
    <t xml:space="preserve">Morgan Rielly</t>
  </si>
  <si>
    <t xml:space="preserve">TOR</t>
  </si>
  <si>
    <t xml:space="preserve">2021-22_WSH_Anthony-Mantha</t>
  </si>
  <si>
    <t xml:space="preserve">Anthony Mantha</t>
  </si>
  <si>
    <t xml:space="preserve">WSH</t>
  </si>
  <si>
    <t xml:space="preserve">2022-23_BOS_Derek-Forbort</t>
  </si>
  <si>
    <t xml:space="preserve">Derek Forbort</t>
  </si>
  <si>
    <t xml:space="preserve">2022-23</t>
  </si>
  <si>
    <t xml:space="preserve">BOS</t>
  </si>
  <si>
    <t xml:space="preserve">2022-23_CAR_Stefan-Noesen</t>
  </si>
  <si>
    <t xml:space="preserve">Stefan Noesen</t>
  </si>
  <si>
    <t xml:space="preserve">2022-23_EDM_Brett-Kulak</t>
  </si>
  <si>
    <t xml:space="preserve">Brett Kulak</t>
  </si>
  <si>
    <t xml:space="preserve">EDM</t>
  </si>
  <si>
    <t xml:space="preserve">2022-23_EDM_Darnell-Nurse</t>
  </si>
  <si>
    <t xml:space="preserve">Darnell Nurse</t>
  </si>
  <si>
    <t xml:space="preserve">2022-23_EDM_Klim-Kostin</t>
  </si>
  <si>
    <t xml:space="preserve">Klim Kostin</t>
  </si>
  <si>
    <t xml:space="preserve">2022-23_FLA_Brandon-Montour</t>
  </si>
  <si>
    <t xml:space="preserve">Brandon Montour</t>
  </si>
  <si>
    <t xml:space="preserve">2022-23_NJD_Erik-Haula</t>
  </si>
  <si>
    <t xml:space="preserve">Erik Haula</t>
  </si>
  <si>
    <t xml:space="preserve">NJD</t>
  </si>
  <si>
    <t xml:space="preserve">2022-23_NJD_Kevin-Bahl</t>
  </si>
  <si>
    <t xml:space="preserve">Kevin Bahl</t>
  </si>
  <si>
    <t xml:space="preserve">2022-23_NJD_Michael-McLeod</t>
  </si>
  <si>
    <t xml:space="preserve">Michael McLeod</t>
  </si>
  <si>
    <t xml:space="preserve">2022-23_NYR_Barclay-Goodrow</t>
  </si>
  <si>
    <t xml:space="preserve">Barclay Goodrow</t>
  </si>
  <si>
    <t xml:space="preserve">2022-23_NYR_Braden-Schneider</t>
  </si>
  <si>
    <t xml:space="preserve">Braden Schneider</t>
  </si>
  <si>
    <t xml:space="preserve">2022-23_TBL_Nikita-Kucherov</t>
  </si>
  <si>
    <t xml:space="preserve">Nikita Kucherov</t>
  </si>
  <si>
    <t xml:space="preserve">2022-23_TBL_Steven-Stamkos</t>
  </si>
  <si>
    <t xml:space="preserve">2022-23_TOR_Auston-Matthews</t>
  </si>
  <si>
    <t xml:space="preserve">Auston Matthews</t>
  </si>
  <si>
    <t xml:space="preserve">2022-23_TOR_Ryan-O-Reilly</t>
  </si>
  <si>
    <t xml:space="preserve">Ryan O'Reilly</t>
  </si>
  <si>
    <t xml:space="preserve">2022-23_VGK_Brett-Howden</t>
  </si>
  <si>
    <t xml:space="preserve">Brett Howden</t>
  </si>
  <si>
    <t xml:space="preserve">VGK</t>
  </si>
  <si>
    <t xml:space="preserve">2022-23_VGK_Keegan-Kolesar</t>
  </si>
  <si>
    <t xml:space="preserve">Keegan Kolesar</t>
  </si>
  <si>
    <t xml:space="preserve">2022-23_VGK_Nicolas-Hague</t>
  </si>
  <si>
    <t xml:space="preserve">Nicolas Hague</t>
  </si>
  <si>
    <t xml:space="preserve">2022-23_VGK_Zach-Whitecloud</t>
  </si>
  <si>
    <t xml:space="preserve">Zach Whitecloud</t>
  </si>
  <si>
    <t xml:space="preserve">2022-23_WPG_Brenden-Dillon</t>
  </si>
  <si>
    <t xml:space="preserve">Brenden Dillon</t>
  </si>
  <si>
    <t xml:space="preserve">WPG</t>
  </si>
  <si>
    <t xml:space="preserve">2023-24_BOS_David-Pastrnak</t>
  </si>
  <si>
    <t xml:space="preserve">David Pastrnak</t>
  </si>
  <si>
    <t xml:space="preserve">2023-24</t>
  </si>
  <si>
    <t xml:space="preserve">2023-24_CAR_Stefan-Noesen</t>
  </si>
  <si>
    <t xml:space="preserve">2023-24_COL_Miles-Wood</t>
  </si>
  <si>
    <t xml:space="preserve">Miles Wood</t>
  </si>
  <si>
    <t xml:space="preserve">2023-24_EDM_Evander-Kane</t>
  </si>
  <si>
    <t xml:space="preserve">Evander Kane</t>
  </si>
  <si>
    <t xml:space="preserve">2023-24_FLA_Matthew-Tkachuk</t>
  </si>
  <si>
    <t xml:space="preserve">2023-24_LAK_Andreas-Englund</t>
  </si>
  <si>
    <t xml:space="preserve">Andreas Englund</t>
  </si>
  <si>
    <t xml:space="preserve">LAK</t>
  </si>
  <si>
    <t xml:space="preserve">2023-24_NYI_Kyle-MacLean</t>
  </si>
  <si>
    <t xml:space="preserve">Kyle MacLean</t>
  </si>
  <si>
    <t xml:space="preserve">NYI</t>
  </si>
  <si>
    <t xml:space="preserve">2023-24_WPG_Adam-Lowry</t>
  </si>
  <si>
    <t xml:space="preserve">Adam Lowry</t>
  </si>
  <si>
    <t xml:space="preserve">2024-25_EDM_Darnell-Nurse</t>
  </si>
  <si>
    <t xml:space="preserve">2024-25</t>
  </si>
  <si>
    <t xml:space="preserve">2024-25_EDM_Trent-Frederic</t>
  </si>
  <si>
    <t xml:space="preserve">Trent Frederic</t>
  </si>
  <si>
    <t xml:space="preserve">2024-25_FLA_Jonah-Gadjovich</t>
  </si>
  <si>
    <t xml:space="preserve">Jonah Gadjovich</t>
  </si>
  <si>
    <t xml:space="preserve">2024-25_VGK_Nicolas-Hague</t>
  </si>
  <si>
    <t xml:space="preserve">2025-26_ANA_Jeff-Viel</t>
  </si>
  <si>
    <t xml:space="preserve">Jeff Viel</t>
  </si>
  <si>
    <t xml:space="preserve">2025-26</t>
  </si>
  <si>
    <t xml:space="preserve">ANA</t>
  </si>
  <si>
    <t xml:space="preserve">2025-26_BOS_Mark-Kastelic</t>
  </si>
  <si>
    <t xml:space="preserve">Mark Kastelic</t>
  </si>
  <si>
    <t xml:space="preserve">2025-26_BUF_Logan-Stanley</t>
  </si>
  <si>
    <t xml:space="preserve">Logan Stanley</t>
  </si>
  <si>
    <t xml:space="preserve">BUF</t>
  </si>
  <si>
    <t xml:space="preserve">2025-26_CAR_Jordan-Staal</t>
  </si>
  <si>
    <t xml:space="preserve">Jordan Staal</t>
  </si>
  <si>
    <t xml:space="preserve">2025-26_EDM_Vasily-Podkolzin</t>
  </si>
  <si>
    <t xml:space="preserve">Vasily Podkolzin</t>
  </si>
  <si>
    <t xml:space="preserve">2025-26_MTL_Juraj-Slafkovsky</t>
  </si>
  <si>
    <t xml:space="preserve">Juraj Slafkovský</t>
  </si>
  <si>
    <t xml:space="preserve">MTL</t>
  </si>
  <si>
    <t xml:space="preserve">2025-26_OTT_Brady-Tkachuk</t>
  </si>
  <si>
    <t xml:space="preserve">Brady Tkachuk</t>
  </si>
  <si>
    <t xml:space="preserve">OTT</t>
  </si>
  <si>
    <t xml:space="preserve">2025-26_TBL_Brandon-Hagel</t>
  </si>
  <si>
    <t xml:space="preserve">Fight ID</t>
  </si>
  <si>
    <t xml:space="preserve">Date</t>
  </si>
  <si>
    <t xml:space="preserve">Player 1</t>
  </si>
  <si>
    <t xml:space="preserve">Team 1</t>
  </si>
  <si>
    <t xml:space="preserve">Card ID 1</t>
  </si>
  <si>
    <t xml:space="preserve">Card 1 Status</t>
  </si>
  <si>
    <t xml:space="preserve">Player 2</t>
  </si>
  <si>
    <t xml:space="preserve">Team 2</t>
  </si>
  <si>
    <t xml:space="preserve">Card ID 2</t>
  </si>
  <si>
    <t xml:space="preserve">Card 2 Status</t>
  </si>
  <si>
    <t xml:space="preserve">Both Cards Ready?</t>
  </si>
  <si>
    <t xml:space="preserve">n265400</t>
  </si>
  <si>
    <t xml:space="preserve">n265403</t>
  </si>
  <si>
    <t xml:space="preserve">n265404</t>
  </si>
  <si>
    <t xml:space="preserve">n265410</t>
  </si>
  <si>
    <t xml:space="preserve">n265416</t>
  </si>
  <si>
    <t xml:space="preserve">n265426</t>
  </si>
  <si>
    <t xml:space="preserve">n265432</t>
  </si>
  <si>
    <t xml:space="preserve">n265434</t>
  </si>
  <si>
    <t xml:space="preserve">n265438</t>
  </si>
  <si>
    <t xml:space="preserve">n267508</t>
  </si>
  <si>
    <t xml:space="preserve">n267511</t>
  </si>
  <si>
    <t xml:space="preserve">n267510</t>
  </si>
  <si>
    <t xml:space="preserve">n267509</t>
  </si>
  <si>
    <t xml:space="preserve">n267512</t>
  </si>
  <si>
    <t xml:space="preserve">n267513</t>
  </si>
  <si>
    <t xml:space="preserve">n267523</t>
  </si>
  <si>
    <t xml:space="preserve">n267522</t>
  </si>
  <si>
    <t xml:space="preserve">n267524</t>
  </si>
  <si>
    <t xml:space="preserve">n267560</t>
  </si>
  <si>
    <t xml:space="preserve">n269559</t>
  </si>
  <si>
    <t xml:space="preserve">n269561</t>
  </si>
  <si>
    <t xml:space="preserve">n269570</t>
  </si>
  <si>
    <t xml:space="preserve">n269572</t>
  </si>
  <si>
    <t xml:space="preserve">n271733</t>
  </si>
  <si>
    <t xml:space="preserve">n271744</t>
  </si>
  <si>
    <t xml:space="preserve">n273544</t>
  </si>
  <si>
    <t xml:space="preserve">n273551</t>
  </si>
  <si>
    <t xml:space="preserve">n273550</t>
  </si>
  <si>
    <t xml:space="preserve">n273553</t>
  </si>
  <si>
    <t xml:space="preserve">How to use</t>
  </si>
  <si>
    <t xml:space="preserve">1. On the Cards sheet, paste a link to each trading card PNG in column H and the jersey number in column F (yellow cells, blue text).</t>
  </si>
  <si>
    <t xml:space="preserve">2. A link can be a full https address or a path inside your GitHub repo, for example cards/2021-22_TBL_Steven-Stamkos.png. Hosting the PNGs in the repo is the most reliable.</t>
  </si>
  <si>
    <t xml:space="preserve">3. Image Status turns green when a .png link is present. It checks the link text only; open the page to confirm the image loads.</t>
  </si>
  <si>
    <t xml:space="preserve">4. Run sheet_to_cards_json.py on this file to produce cards.json, then upload cards.json next to index.html.</t>
  </si>
  <si>
    <t xml:space="preserve">Definitions</t>
  </si>
  <si>
    <t xml:space="preserve">*PIM = the player's total playoff penalty minutes across the five postseasons, 2021-22 to 2025-26. It is not the minutes from any single fight.</t>
  </si>
  <si>
    <t xml:space="preserve">One card per player per season and team, because a card shows the team the player fought for. Pre-filled columns (Player, Season, Team, Position, PIM) come from the project spreadsheets.</t>
  </si>
  <si>
    <t xml:space="preserve">The 3 uncollected 2022-23 fights have no rows yet. Add them here once collected.</t>
  </si>
  <si>
    <t xml:space="preserve">Progress</t>
  </si>
  <si>
    <t xml:space="preserve">Cards total</t>
  </si>
  <si>
    <t xml:space="preserve">Cards linked</t>
  </si>
  <si>
    <t xml:space="preserve">Cards missing</t>
  </si>
  <si>
    <t xml:space="preserve">Fights with both cards ready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</si>
</sst>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1F33"/>
        <bgColor rgb="FF003300"/>
      </patternFill>
    </fill>
    <fill>
      <patternFill patternType="solid">
        <fgColor rgb="FFFFF9DB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001F3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9DB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DB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1F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16"/>
    <col collapsed="false" customWidth="true" hidden="false" outlineLevel="0" max="8" min="8" style="0" width="52"/>
    <col collapsed="false" customWidth="true" hidden="false" outlineLevel="0" max="9" min="9" style="0" width="28"/>
    <col collapsed="false" customWidth="true" hidden="false" outlineLevel="0" max="10" min="10" style="0" width="22"/>
    <col collapsed="false" customWidth="true" hidden="false" outlineLevel="0" max="11" min="11" style="0" width="12"/>
    <col collapsed="false" customWidth="true" hidden="false" outlineLevel="0" max="12" min="12" style="0" width="30"/>
  </cols>
  <sheetData>
    <row r="1" customFormat="false" ht="42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customFormat="false" ht="15" hidden="false" customHeight="false" outlineLevel="0" collapsed="false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3"/>
      <c r="G2" s="2" t="n">
        <v>21</v>
      </c>
      <c r="H2" s="3"/>
      <c r="I2" s="3"/>
      <c r="J2" s="2" t="str">
        <f aca="false">IF(H2="","Missing",IF(RIGHT(LOWER(TRIM(H2)),4)=".png","Linked","Check: not a .png link"))</f>
        <v>Missing</v>
      </c>
      <c r="K2" s="2" t="n">
        <f aca="false">COUNTIF(Fight_Cards!$F$2:$F$30,A2)+COUNTIF(Fight_Cards!$J$2:$J$30,A2)</f>
        <v>1</v>
      </c>
      <c r="L2" s="3"/>
    </row>
    <row r="3" customFormat="false" ht="15" hidden="false" customHeight="false" outlineLevel="0" collapsed="false">
      <c r="A3" s="2" t="s">
        <v>17</v>
      </c>
      <c r="B3" s="2" t="s">
        <v>18</v>
      </c>
      <c r="C3" s="2" t="s">
        <v>14</v>
      </c>
      <c r="D3" s="2" t="s">
        <v>19</v>
      </c>
      <c r="E3" s="2" t="s">
        <v>20</v>
      </c>
      <c r="F3" s="3"/>
      <c r="G3" s="2" t="n">
        <v>158</v>
      </c>
      <c r="H3" s="3"/>
      <c r="I3" s="3"/>
      <c r="J3" s="2" t="str">
        <f aca="false">IF(H3="","Missing",IF(RIGHT(LOWER(TRIM(H3)),4)=".png","Linked","Check: not a .png link"))</f>
        <v>Missing</v>
      </c>
      <c r="K3" s="2" t="n">
        <f aca="false">COUNTIF(Fight_Cards!$F$2:$F$30,A3)+COUNTIF(Fight_Cards!$J$2:$J$30,A3)</f>
        <v>2</v>
      </c>
      <c r="L3" s="3"/>
    </row>
    <row r="4" customFormat="false" ht="15" hidden="false" customHeight="false" outlineLevel="0" collapsed="false">
      <c r="A4" s="2" t="s">
        <v>21</v>
      </c>
      <c r="B4" s="2" t="s">
        <v>22</v>
      </c>
      <c r="C4" s="2" t="s">
        <v>14</v>
      </c>
      <c r="D4" s="2" t="s">
        <v>19</v>
      </c>
      <c r="E4" s="2" t="s">
        <v>23</v>
      </c>
      <c r="F4" s="3"/>
      <c r="G4" s="2" t="n">
        <v>41</v>
      </c>
      <c r="H4" s="3"/>
      <c r="I4" s="3"/>
      <c r="J4" s="2" t="str">
        <f aca="false">IF(H4="","Missing",IF(RIGHT(LOWER(TRIM(H4)),4)=".png","Linked","Check: not a .png link"))</f>
        <v>Missing</v>
      </c>
      <c r="K4" s="2" t="n">
        <f aca="false">COUNTIF(Fight_Cards!$F$2:$F$30,A4)+COUNTIF(Fight_Cards!$J$2:$J$30,A4)</f>
        <v>1</v>
      </c>
      <c r="L4" s="3"/>
    </row>
    <row r="5" customFormat="false" ht="15" hidden="false" customHeight="false" outlineLevel="0" collapsed="false">
      <c r="A5" s="2" t="s">
        <v>24</v>
      </c>
      <c r="B5" s="2" t="s">
        <v>25</v>
      </c>
      <c r="C5" s="2" t="s">
        <v>14</v>
      </c>
      <c r="D5" s="2" t="s">
        <v>26</v>
      </c>
      <c r="E5" s="2" t="s">
        <v>27</v>
      </c>
      <c r="F5" s="3"/>
      <c r="G5" s="2" t="n">
        <v>31</v>
      </c>
      <c r="H5" s="3"/>
      <c r="I5" s="3"/>
      <c r="J5" s="2" t="str">
        <f aca="false">IF(H5="","Missing",IF(RIGHT(LOWER(TRIM(H5)),4)=".png","Linked","Check: not a .png link"))</f>
        <v>Missing</v>
      </c>
      <c r="K5" s="2" t="n">
        <f aca="false">COUNTIF(Fight_Cards!$F$2:$F$30,A5)+COUNTIF(Fight_Cards!$J$2:$J$30,A5)</f>
        <v>1</v>
      </c>
      <c r="L5" s="3"/>
    </row>
    <row r="6" customFormat="false" ht="15" hidden="false" customHeight="false" outlineLevel="0" collapsed="false">
      <c r="A6" s="2" t="s">
        <v>28</v>
      </c>
      <c r="B6" s="2" t="s">
        <v>29</v>
      </c>
      <c r="C6" s="2" t="s">
        <v>14</v>
      </c>
      <c r="D6" s="2" t="s">
        <v>30</v>
      </c>
      <c r="E6" s="2" t="s">
        <v>23</v>
      </c>
      <c r="F6" s="3"/>
      <c r="G6" s="2" t="n">
        <v>28</v>
      </c>
      <c r="H6" s="3"/>
      <c r="I6" s="3"/>
      <c r="J6" s="2" t="str">
        <f aca="false">IF(H6="","Missing",IF(RIGHT(LOWER(TRIM(H6)),4)=".png","Linked","Check: not a .png link"))</f>
        <v>Missing</v>
      </c>
      <c r="K6" s="2" t="n">
        <f aca="false">COUNTIF(Fight_Cards!$F$2:$F$30,A6)+COUNTIF(Fight_Cards!$J$2:$J$30,A6)</f>
        <v>2</v>
      </c>
      <c r="L6" s="3"/>
    </row>
    <row r="7" customFormat="false" ht="15" hidden="false" customHeight="false" outlineLevel="0" collapsed="false">
      <c r="A7" s="2" t="s">
        <v>31</v>
      </c>
      <c r="B7" s="2" t="s">
        <v>32</v>
      </c>
      <c r="C7" s="2" t="s">
        <v>14</v>
      </c>
      <c r="D7" s="2" t="s">
        <v>30</v>
      </c>
      <c r="E7" s="2" t="s">
        <v>20</v>
      </c>
      <c r="F7" s="3"/>
      <c r="G7" s="2" t="n">
        <v>19</v>
      </c>
      <c r="H7" s="3"/>
      <c r="I7" s="3"/>
      <c r="J7" s="2" t="str">
        <f aca="false">IF(H7="","Missing",IF(RIGHT(LOWER(TRIM(H7)),4)=".png","Linked","Check: not a .png link"))</f>
        <v>Missing</v>
      </c>
      <c r="K7" s="2" t="n">
        <f aca="false">COUNTIF(Fight_Cards!$F$2:$F$30,A7)+COUNTIF(Fight_Cards!$J$2:$J$30,A7)</f>
        <v>1</v>
      </c>
      <c r="L7" s="3"/>
    </row>
    <row r="8" customFormat="false" ht="15" hidden="false" customHeight="false" outlineLevel="0" collapsed="false">
      <c r="A8" s="2" t="s">
        <v>33</v>
      </c>
      <c r="B8" s="2" t="s">
        <v>34</v>
      </c>
      <c r="C8" s="2" t="s">
        <v>14</v>
      </c>
      <c r="D8" s="2" t="s">
        <v>35</v>
      </c>
      <c r="E8" s="2" t="s">
        <v>23</v>
      </c>
      <c r="F8" s="3"/>
      <c r="G8" s="2" t="n">
        <v>85</v>
      </c>
      <c r="H8" s="3"/>
      <c r="I8" s="3"/>
      <c r="J8" s="2" t="str">
        <f aca="false">IF(H8="","Missing",IF(RIGHT(LOWER(TRIM(H8)),4)=".png","Linked","Check: not a .png link"))</f>
        <v>Missing</v>
      </c>
      <c r="K8" s="2" t="n">
        <f aca="false">COUNTIF(Fight_Cards!$F$2:$F$30,A8)+COUNTIF(Fight_Cards!$J$2:$J$30,A8)</f>
        <v>1</v>
      </c>
      <c r="L8" s="3"/>
    </row>
    <row r="9" customFormat="false" ht="15" hidden="false" customHeight="false" outlineLevel="0" collapsed="false">
      <c r="A9" s="2" t="s">
        <v>36</v>
      </c>
      <c r="B9" s="2" t="s">
        <v>37</v>
      </c>
      <c r="C9" s="2" t="s">
        <v>14</v>
      </c>
      <c r="D9" s="2" t="s">
        <v>38</v>
      </c>
      <c r="E9" s="2" t="s">
        <v>20</v>
      </c>
      <c r="F9" s="3"/>
      <c r="G9" s="2" t="n">
        <v>17</v>
      </c>
      <c r="H9" s="3"/>
      <c r="I9" s="3"/>
      <c r="J9" s="2" t="str">
        <f aca="false">IF(H9="","Missing",IF(RIGHT(LOWER(TRIM(H9)),4)=".png","Linked","Check: not a .png link"))</f>
        <v>Missing</v>
      </c>
      <c r="K9" s="2" t="n">
        <f aca="false">COUNTIF(Fight_Cards!$F$2:$F$30,A9)+COUNTIF(Fight_Cards!$J$2:$J$30,A9)</f>
        <v>1</v>
      </c>
      <c r="L9" s="3"/>
    </row>
    <row r="10" customFormat="false" ht="15" hidden="false" customHeight="false" outlineLevel="0" collapsed="false">
      <c r="A10" s="2" t="s">
        <v>39</v>
      </c>
      <c r="B10" s="2" t="s">
        <v>40</v>
      </c>
      <c r="C10" s="2" t="s">
        <v>14</v>
      </c>
      <c r="D10" s="2" t="s">
        <v>38</v>
      </c>
      <c r="E10" s="2" t="s">
        <v>27</v>
      </c>
      <c r="F10" s="3"/>
      <c r="G10" s="2" t="n">
        <v>13</v>
      </c>
      <c r="H10" s="3"/>
      <c r="I10" s="3"/>
      <c r="J10" s="2" t="str">
        <f aca="false">IF(H10="","Missing",IF(RIGHT(LOWER(TRIM(H10)),4)=".png","Linked","Check: not a .png link"))</f>
        <v>Missing</v>
      </c>
      <c r="K10" s="2" t="n">
        <f aca="false">COUNTIF(Fight_Cards!$F$2:$F$30,A10)+COUNTIF(Fight_Cards!$J$2:$J$30,A10)</f>
        <v>1</v>
      </c>
      <c r="L10" s="3"/>
    </row>
    <row r="11" customFormat="false" ht="15" hidden="false" customHeight="false" outlineLevel="0" collapsed="false">
      <c r="A11" s="2" t="s">
        <v>41</v>
      </c>
      <c r="B11" s="2" t="s">
        <v>42</v>
      </c>
      <c r="C11" s="2" t="s">
        <v>14</v>
      </c>
      <c r="D11" s="2" t="s">
        <v>38</v>
      </c>
      <c r="E11" s="2" t="s">
        <v>23</v>
      </c>
      <c r="F11" s="3"/>
      <c r="G11" s="2" t="n">
        <v>57</v>
      </c>
      <c r="H11" s="3"/>
      <c r="I11" s="3"/>
      <c r="J11" s="2" t="str">
        <f aca="false">IF(H11="","Missing",IF(RIGHT(LOWER(TRIM(H11)),4)=".png","Linked","Check: not a .png link"))</f>
        <v>Missing</v>
      </c>
      <c r="K11" s="2" t="n">
        <f aca="false">COUNTIF(Fight_Cards!$F$2:$F$30,A11)+COUNTIF(Fight_Cards!$J$2:$J$30,A11)</f>
        <v>1</v>
      </c>
      <c r="L11" s="3"/>
    </row>
    <row r="12" customFormat="false" ht="15" hidden="false" customHeight="false" outlineLevel="0" collapsed="false">
      <c r="A12" s="2" t="s">
        <v>43</v>
      </c>
      <c r="B12" s="2" t="s">
        <v>44</v>
      </c>
      <c r="C12" s="2" t="s">
        <v>14</v>
      </c>
      <c r="D12" s="2" t="s">
        <v>45</v>
      </c>
      <c r="E12" s="2" t="s">
        <v>20</v>
      </c>
      <c r="F12" s="3"/>
      <c r="G12" s="2" t="n">
        <v>45</v>
      </c>
      <c r="H12" s="3"/>
      <c r="I12" s="3"/>
      <c r="J12" s="2" t="str">
        <f aca="false">IF(H12="","Missing",IF(RIGHT(LOWER(TRIM(H12)),4)=".png","Linked","Check: not a .png link"))</f>
        <v>Missing</v>
      </c>
      <c r="K12" s="2" t="n">
        <f aca="false">COUNTIF(Fight_Cards!$F$2:$F$30,A12)+COUNTIF(Fight_Cards!$J$2:$J$30,A12)</f>
        <v>1</v>
      </c>
      <c r="L12" s="3"/>
    </row>
    <row r="13" customFormat="false" ht="15" hidden="false" customHeight="false" outlineLevel="0" collapsed="false">
      <c r="A13" s="2" t="s">
        <v>46</v>
      </c>
      <c r="B13" s="2" t="s">
        <v>47</v>
      </c>
      <c r="C13" s="2" t="s">
        <v>14</v>
      </c>
      <c r="D13" s="2" t="s">
        <v>45</v>
      </c>
      <c r="E13" s="2" t="s">
        <v>23</v>
      </c>
      <c r="F13" s="3"/>
      <c r="G13" s="2" t="n">
        <v>17</v>
      </c>
      <c r="H13" s="3"/>
      <c r="I13" s="3"/>
      <c r="J13" s="2" t="str">
        <f aca="false">IF(H13="","Missing",IF(RIGHT(LOWER(TRIM(H13)),4)=".png","Linked","Check: not a .png link"))</f>
        <v>Missing</v>
      </c>
      <c r="K13" s="2" t="n">
        <f aca="false">COUNTIF(Fight_Cards!$F$2:$F$30,A13)+COUNTIF(Fight_Cards!$J$2:$J$30,A13)</f>
        <v>1</v>
      </c>
      <c r="L13" s="3"/>
    </row>
    <row r="14" customFormat="false" ht="15" hidden="false" customHeight="false" outlineLevel="0" collapsed="false">
      <c r="A14" s="2" t="s">
        <v>48</v>
      </c>
      <c r="B14" s="2" t="s">
        <v>49</v>
      </c>
      <c r="C14" s="2" t="s">
        <v>14</v>
      </c>
      <c r="D14" s="2" t="s">
        <v>45</v>
      </c>
      <c r="E14" s="2" t="s">
        <v>16</v>
      </c>
      <c r="F14" s="3"/>
      <c r="G14" s="2" t="n">
        <v>35</v>
      </c>
      <c r="H14" s="3"/>
      <c r="I14" s="3"/>
      <c r="J14" s="2" t="str">
        <f aca="false">IF(H14="","Missing",IF(RIGHT(LOWER(TRIM(H14)),4)=".png","Linked","Check: not a .png link"))</f>
        <v>Missing</v>
      </c>
      <c r="K14" s="2" t="n">
        <f aca="false">COUNTIF(Fight_Cards!$F$2:$F$30,A14)+COUNTIF(Fight_Cards!$J$2:$J$30,A14)</f>
        <v>1</v>
      </c>
      <c r="L14" s="3"/>
    </row>
    <row r="15" customFormat="false" ht="15" hidden="false" customHeight="false" outlineLevel="0" collapsed="false">
      <c r="A15" s="2" t="s">
        <v>50</v>
      </c>
      <c r="B15" s="2" t="s">
        <v>51</v>
      </c>
      <c r="C15" s="2" t="s">
        <v>14</v>
      </c>
      <c r="D15" s="2" t="s">
        <v>45</v>
      </c>
      <c r="E15" s="2" t="s">
        <v>16</v>
      </c>
      <c r="F15" s="3"/>
      <c r="G15" s="2" t="n">
        <v>36</v>
      </c>
      <c r="H15" s="3"/>
      <c r="I15" s="3"/>
      <c r="J15" s="2" t="str">
        <f aca="false">IF(H15="","Missing",IF(RIGHT(LOWER(TRIM(H15)),4)=".png","Linked","Check: not a .png link"))</f>
        <v>Missing</v>
      </c>
      <c r="K15" s="2" t="n">
        <f aca="false">COUNTIF(Fight_Cards!$F$2:$F$30,A15)+COUNTIF(Fight_Cards!$J$2:$J$30,A15)</f>
        <v>1</v>
      </c>
      <c r="L15" s="3"/>
    </row>
    <row r="16" customFormat="false" ht="15" hidden="false" customHeight="false" outlineLevel="0" collapsed="false">
      <c r="A16" s="2" t="s">
        <v>52</v>
      </c>
      <c r="B16" s="2" t="s">
        <v>53</v>
      </c>
      <c r="C16" s="2" t="s">
        <v>14</v>
      </c>
      <c r="D16" s="2" t="s">
        <v>54</v>
      </c>
      <c r="E16" s="2" t="s">
        <v>23</v>
      </c>
      <c r="F16" s="3"/>
      <c r="G16" s="2" t="n">
        <v>27</v>
      </c>
      <c r="H16" s="3"/>
      <c r="I16" s="3"/>
      <c r="J16" s="2" t="str">
        <f aca="false">IF(H16="","Missing",IF(RIGHT(LOWER(TRIM(H16)),4)=".png","Linked","Check: not a .png link"))</f>
        <v>Missing</v>
      </c>
      <c r="K16" s="2" t="n">
        <f aca="false">COUNTIF(Fight_Cards!$F$2:$F$30,A16)+COUNTIF(Fight_Cards!$J$2:$J$30,A16)</f>
        <v>1</v>
      </c>
      <c r="L16" s="3"/>
    </row>
    <row r="17" customFormat="false" ht="15" hidden="false" customHeight="false" outlineLevel="0" collapsed="false">
      <c r="A17" s="2" t="s">
        <v>55</v>
      </c>
      <c r="B17" s="2" t="s">
        <v>56</v>
      </c>
      <c r="C17" s="2" t="s">
        <v>14</v>
      </c>
      <c r="D17" s="2" t="s">
        <v>57</v>
      </c>
      <c r="E17" s="2" t="s">
        <v>27</v>
      </c>
      <c r="F17" s="3"/>
      <c r="G17" s="2" t="n">
        <v>35</v>
      </c>
      <c r="H17" s="3"/>
      <c r="I17" s="3"/>
      <c r="J17" s="2" t="str">
        <f aca="false">IF(H17="","Missing",IF(RIGHT(LOWER(TRIM(H17)),4)=".png","Linked","Check: not a .png link"))</f>
        <v>Missing</v>
      </c>
      <c r="K17" s="2" t="n">
        <f aca="false">COUNTIF(Fight_Cards!$F$2:$F$30,A17)+COUNTIF(Fight_Cards!$J$2:$J$30,A17)</f>
        <v>1</v>
      </c>
      <c r="L17" s="3"/>
    </row>
    <row r="18" customFormat="false" ht="15" hidden="false" customHeight="false" outlineLevel="0" collapsed="false">
      <c r="A18" s="2" t="s">
        <v>58</v>
      </c>
      <c r="B18" s="2" t="s">
        <v>59</v>
      </c>
      <c r="C18" s="2" t="s">
        <v>60</v>
      </c>
      <c r="D18" s="2" t="s">
        <v>61</v>
      </c>
      <c r="E18" s="2" t="s">
        <v>23</v>
      </c>
      <c r="F18" s="3"/>
      <c r="G18" s="2" t="n">
        <v>31</v>
      </c>
      <c r="H18" s="3"/>
      <c r="I18" s="3"/>
      <c r="J18" s="2" t="str">
        <f aca="false">IF(H18="","Missing",IF(RIGHT(LOWER(TRIM(H18)),4)=".png","Linked","Check: not a .png link"))</f>
        <v>Missing</v>
      </c>
      <c r="K18" s="2" t="n">
        <f aca="false">COUNTIF(Fight_Cards!$F$2:$F$30,A18)+COUNTIF(Fight_Cards!$J$2:$J$30,A18)</f>
        <v>1</v>
      </c>
      <c r="L18" s="3"/>
    </row>
    <row r="19" customFormat="false" ht="15" hidden="false" customHeight="false" outlineLevel="0" collapsed="false">
      <c r="A19" s="2" t="s">
        <v>62</v>
      </c>
      <c r="B19" s="2" t="s">
        <v>63</v>
      </c>
      <c r="C19" s="2" t="s">
        <v>60</v>
      </c>
      <c r="D19" s="2" t="s">
        <v>15</v>
      </c>
      <c r="E19" s="2" t="s">
        <v>27</v>
      </c>
      <c r="F19" s="3"/>
      <c r="G19" s="2" t="n">
        <v>42</v>
      </c>
      <c r="H19" s="3"/>
      <c r="I19" s="3"/>
      <c r="J19" s="2" t="str">
        <f aca="false">IF(H19="","Missing",IF(RIGHT(LOWER(TRIM(H19)),4)=".png","Linked","Check: not a .png link"))</f>
        <v>Missing</v>
      </c>
      <c r="K19" s="2" t="n">
        <f aca="false">COUNTIF(Fight_Cards!$F$2:$F$30,A19)+COUNTIF(Fight_Cards!$J$2:$J$30,A19)</f>
        <v>1</v>
      </c>
      <c r="L19" s="3"/>
    </row>
    <row r="20" customFormat="false" ht="15" hidden="false" customHeight="false" outlineLevel="0" collapsed="false">
      <c r="A20" s="2" t="s">
        <v>64</v>
      </c>
      <c r="B20" s="2" t="s">
        <v>65</v>
      </c>
      <c r="C20" s="2" t="s">
        <v>60</v>
      </c>
      <c r="D20" s="2" t="s">
        <v>66</v>
      </c>
      <c r="E20" s="2" t="s">
        <v>23</v>
      </c>
      <c r="F20" s="3"/>
      <c r="G20" s="2" t="n">
        <v>49</v>
      </c>
      <c r="H20" s="3"/>
      <c r="I20" s="3"/>
      <c r="J20" s="2" t="str">
        <f aca="false">IF(H20="","Missing",IF(RIGHT(LOWER(TRIM(H20)),4)=".png","Linked","Check: not a .png link"))</f>
        <v>Missing</v>
      </c>
      <c r="K20" s="2" t="n">
        <f aca="false">COUNTIF(Fight_Cards!$F$2:$F$30,A20)+COUNTIF(Fight_Cards!$J$2:$J$30,A20)</f>
        <v>1</v>
      </c>
      <c r="L20" s="3"/>
    </row>
    <row r="21" customFormat="false" ht="15" hidden="false" customHeight="false" outlineLevel="0" collapsed="false">
      <c r="A21" s="2" t="s">
        <v>67</v>
      </c>
      <c r="B21" s="2" t="s">
        <v>68</v>
      </c>
      <c r="C21" s="2" t="s">
        <v>60</v>
      </c>
      <c r="D21" s="2" t="s">
        <v>66</v>
      </c>
      <c r="E21" s="2" t="s">
        <v>23</v>
      </c>
      <c r="F21" s="3"/>
      <c r="G21" s="2" t="n">
        <v>94</v>
      </c>
      <c r="H21" s="3"/>
      <c r="I21" s="3"/>
      <c r="J21" s="2" t="str">
        <f aca="false">IF(H21="","Missing",IF(RIGHT(LOWER(TRIM(H21)),4)=".png","Linked","Check: not a .png link"))</f>
        <v>Missing</v>
      </c>
      <c r="K21" s="2" t="n">
        <f aca="false">COUNTIF(Fight_Cards!$F$2:$F$30,A21)+COUNTIF(Fight_Cards!$J$2:$J$30,A21)</f>
        <v>1</v>
      </c>
      <c r="L21" s="3"/>
    </row>
    <row r="22" customFormat="false" ht="15" hidden="false" customHeight="false" outlineLevel="0" collapsed="false">
      <c r="A22" s="2" t="s">
        <v>69</v>
      </c>
      <c r="B22" s="2" t="s">
        <v>70</v>
      </c>
      <c r="C22" s="2" t="s">
        <v>60</v>
      </c>
      <c r="D22" s="2" t="s">
        <v>66</v>
      </c>
      <c r="E22" s="2" t="s">
        <v>16</v>
      </c>
      <c r="F22" s="3"/>
      <c r="G22" s="2" t="n">
        <v>9</v>
      </c>
      <c r="H22" s="3"/>
      <c r="I22" s="3"/>
      <c r="J22" s="2" t="str">
        <f aca="false">IF(H22="","Missing",IF(RIGHT(LOWER(TRIM(H22)),4)=".png","Linked","Check: not a .png link"))</f>
        <v>Missing</v>
      </c>
      <c r="K22" s="2" t="n">
        <f aca="false">COUNTIF(Fight_Cards!$F$2:$F$30,A22)+COUNTIF(Fight_Cards!$J$2:$J$30,A22)</f>
        <v>1</v>
      </c>
      <c r="L22" s="3"/>
    </row>
    <row r="23" customFormat="false" ht="15" hidden="false" customHeight="false" outlineLevel="0" collapsed="false">
      <c r="A23" s="2" t="s">
        <v>71</v>
      </c>
      <c r="B23" s="2" t="s">
        <v>72</v>
      </c>
      <c r="C23" s="2" t="s">
        <v>60</v>
      </c>
      <c r="D23" s="2" t="s">
        <v>35</v>
      </c>
      <c r="E23" s="2" t="s">
        <v>23</v>
      </c>
      <c r="F23" s="3"/>
      <c r="G23" s="2" t="n">
        <v>57</v>
      </c>
      <c r="H23" s="3"/>
      <c r="I23" s="3"/>
      <c r="J23" s="2" t="str">
        <f aca="false">IF(H23="","Missing",IF(RIGHT(LOWER(TRIM(H23)),4)=".png","Linked","Check: not a .png link"))</f>
        <v>Missing</v>
      </c>
      <c r="K23" s="2" t="n">
        <f aca="false">COUNTIF(Fight_Cards!$F$2:$F$30,A23)+COUNTIF(Fight_Cards!$J$2:$J$30,A23)</f>
        <v>1</v>
      </c>
      <c r="L23" s="3"/>
    </row>
    <row r="24" customFormat="false" ht="15" hidden="false" customHeight="false" outlineLevel="0" collapsed="false">
      <c r="A24" s="2" t="s">
        <v>73</v>
      </c>
      <c r="B24" s="2" t="s">
        <v>74</v>
      </c>
      <c r="C24" s="2" t="s">
        <v>60</v>
      </c>
      <c r="D24" s="2" t="s">
        <v>75</v>
      </c>
      <c r="E24" s="2" t="s">
        <v>20</v>
      </c>
      <c r="F24" s="3"/>
      <c r="G24" s="2" t="n">
        <v>25</v>
      </c>
      <c r="H24" s="3"/>
      <c r="I24" s="3"/>
      <c r="J24" s="2" t="str">
        <f aca="false">IF(H24="","Missing",IF(RIGHT(LOWER(TRIM(H24)),4)=".png","Linked","Check: not a .png link"))</f>
        <v>Missing</v>
      </c>
      <c r="K24" s="2" t="n">
        <f aca="false">COUNTIF(Fight_Cards!$F$2:$F$30,A24)+COUNTIF(Fight_Cards!$J$2:$J$30,A24)</f>
        <v>1</v>
      </c>
      <c r="L24" s="3"/>
    </row>
    <row r="25" customFormat="false" ht="15" hidden="false" customHeight="false" outlineLevel="0" collapsed="false">
      <c r="A25" s="2" t="s">
        <v>76</v>
      </c>
      <c r="B25" s="2" t="s">
        <v>77</v>
      </c>
      <c r="C25" s="2" t="s">
        <v>60</v>
      </c>
      <c r="D25" s="2" t="s">
        <v>75</v>
      </c>
      <c r="E25" s="2" t="s">
        <v>23</v>
      </c>
      <c r="F25" s="3"/>
      <c r="G25" s="2" t="n">
        <v>31</v>
      </c>
      <c r="H25" s="3"/>
      <c r="I25" s="3"/>
      <c r="J25" s="2" t="str">
        <f aca="false">IF(H25="","Missing",IF(RIGHT(LOWER(TRIM(H25)),4)=".png","Linked","Check: not a .png link"))</f>
        <v>Missing</v>
      </c>
      <c r="K25" s="2" t="n">
        <f aca="false">COUNTIF(Fight_Cards!$F$2:$F$30,A25)+COUNTIF(Fight_Cards!$J$2:$J$30,A25)</f>
        <v>1</v>
      </c>
      <c r="L25" s="3"/>
    </row>
    <row r="26" customFormat="false" ht="15" hidden="false" customHeight="false" outlineLevel="0" collapsed="false">
      <c r="A26" s="2" t="s">
        <v>78</v>
      </c>
      <c r="B26" s="2" t="s">
        <v>79</v>
      </c>
      <c r="C26" s="2" t="s">
        <v>60</v>
      </c>
      <c r="D26" s="2" t="s">
        <v>75</v>
      </c>
      <c r="E26" s="2" t="s">
        <v>16</v>
      </c>
      <c r="F26" s="3"/>
      <c r="G26" s="2" t="n">
        <v>15</v>
      </c>
      <c r="H26" s="3"/>
      <c r="I26" s="3"/>
      <c r="J26" s="2" t="str">
        <f aca="false">IF(H26="","Missing",IF(RIGHT(LOWER(TRIM(H26)),4)=".png","Linked","Check: not a .png link"))</f>
        <v>Missing</v>
      </c>
      <c r="K26" s="2" t="n">
        <f aca="false">COUNTIF(Fight_Cards!$F$2:$F$30,A26)+COUNTIF(Fight_Cards!$J$2:$J$30,A26)</f>
        <v>1</v>
      </c>
      <c r="L26" s="3"/>
    </row>
    <row r="27" customFormat="false" ht="15" hidden="false" customHeight="false" outlineLevel="0" collapsed="false">
      <c r="A27" s="2" t="s">
        <v>80</v>
      </c>
      <c r="B27" s="2" t="s">
        <v>81</v>
      </c>
      <c r="C27" s="2" t="s">
        <v>60</v>
      </c>
      <c r="D27" s="2" t="s">
        <v>38</v>
      </c>
      <c r="E27" s="2" t="s">
        <v>16</v>
      </c>
      <c r="F27" s="3"/>
      <c r="G27" s="2" t="n">
        <v>47</v>
      </c>
      <c r="H27" s="3"/>
      <c r="I27" s="3"/>
      <c r="J27" s="2" t="str">
        <f aca="false">IF(H27="","Missing",IF(RIGHT(LOWER(TRIM(H27)),4)=".png","Linked","Check: not a .png link"))</f>
        <v>Missing</v>
      </c>
      <c r="K27" s="2" t="n">
        <f aca="false">COUNTIF(Fight_Cards!$F$2:$F$30,A27)+COUNTIF(Fight_Cards!$J$2:$J$30,A27)</f>
        <v>1</v>
      </c>
      <c r="L27" s="3"/>
    </row>
    <row r="28" customFormat="false" ht="15" hidden="false" customHeight="false" outlineLevel="0" collapsed="false">
      <c r="A28" s="2" t="s">
        <v>82</v>
      </c>
      <c r="B28" s="2" t="s">
        <v>83</v>
      </c>
      <c r="C28" s="2" t="s">
        <v>60</v>
      </c>
      <c r="D28" s="2" t="s">
        <v>38</v>
      </c>
      <c r="E28" s="2" t="s">
        <v>23</v>
      </c>
      <c r="F28" s="3"/>
      <c r="G28" s="2" t="n">
        <v>31</v>
      </c>
      <c r="H28" s="3"/>
      <c r="I28" s="3"/>
      <c r="J28" s="2" t="str">
        <f aca="false">IF(H28="","Missing",IF(RIGHT(LOWER(TRIM(H28)),4)=".png","Linked","Check: not a .png link"))</f>
        <v>Missing</v>
      </c>
      <c r="K28" s="2" t="n">
        <f aca="false">COUNTIF(Fight_Cards!$F$2:$F$30,A28)+COUNTIF(Fight_Cards!$J$2:$J$30,A28)</f>
        <v>1</v>
      </c>
      <c r="L28" s="3"/>
    </row>
    <row r="29" customFormat="false" ht="15" hidden="false" customHeight="false" outlineLevel="0" collapsed="false">
      <c r="A29" s="2" t="s">
        <v>84</v>
      </c>
      <c r="B29" s="2" t="s">
        <v>85</v>
      </c>
      <c r="C29" s="2" t="s">
        <v>60</v>
      </c>
      <c r="D29" s="2" t="s">
        <v>45</v>
      </c>
      <c r="E29" s="2" t="s">
        <v>27</v>
      </c>
      <c r="F29" s="3"/>
      <c r="G29" s="2" t="n">
        <v>39</v>
      </c>
      <c r="H29" s="3"/>
      <c r="I29" s="3"/>
      <c r="J29" s="2" t="str">
        <f aca="false">IF(H29="","Missing",IF(RIGHT(LOWER(TRIM(H29)),4)=".png","Linked","Check: not a .png link"))</f>
        <v>Missing</v>
      </c>
      <c r="K29" s="2" t="n">
        <f aca="false">COUNTIF(Fight_Cards!$F$2:$F$30,A29)+COUNTIF(Fight_Cards!$J$2:$J$30,A29)</f>
        <v>1</v>
      </c>
      <c r="L29" s="3"/>
    </row>
    <row r="30" customFormat="false" ht="15" hidden="false" customHeight="false" outlineLevel="0" collapsed="false">
      <c r="A30" s="2" t="s">
        <v>86</v>
      </c>
      <c r="B30" s="2" t="s">
        <v>51</v>
      </c>
      <c r="C30" s="2" t="s">
        <v>60</v>
      </c>
      <c r="D30" s="2" t="s">
        <v>45</v>
      </c>
      <c r="E30" s="2" t="s">
        <v>16</v>
      </c>
      <c r="F30" s="3"/>
      <c r="G30" s="2" t="n">
        <v>36</v>
      </c>
      <c r="H30" s="3"/>
      <c r="I30" s="3"/>
      <c r="J30" s="2" t="str">
        <f aca="false">IF(H30="","Missing",IF(RIGHT(LOWER(TRIM(H30)),4)=".png","Linked","Check: not a .png link"))</f>
        <v>Missing</v>
      </c>
      <c r="K30" s="2" t="n">
        <f aca="false">COUNTIF(Fight_Cards!$F$2:$F$30,A30)+COUNTIF(Fight_Cards!$J$2:$J$30,A30)</f>
        <v>1</v>
      </c>
      <c r="L30" s="3"/>
    </row>
    <row r="31" customFormat="false" ht="15" hidden="false" customHeight="false" outlineLevel="0" collapsed="false">
      <c r="A31" s="2" t="s">
        <v>87</v>
      </c>
      <c r="B31" s="2" t="s">
        <v>88</v>
      </c>
      <c r="C31" s="2" t="s">
        <v>60</v>
      </c>
      <c r="D31" s="2" t="s">
        <v>54</v>
      </c>
      <c r="E31" s="2" t="s">
        <v>16</v>
      </c>
      <c r="F31" s="3"/>
      <c r="G31" s="2" t="n">
        <v>11</v>
      </c>
      <c r="H31" s="3"/>
      <c r="I31" s="3"/>
      <c r="J31" s="2" t="str">
        <f aca="false">IF(H31="","Missing",IF(RIGHT(LOWER(TRIM(H31)),4)=".png","Linked","Check: not a .png link"))</f>
        <v>Missing</v>
      </c>
      <c r="K31" s="2" t="n">
        <f aca="false">COUNTIF(Fight_Cards!$F$2:$F$30,A31)+COUNTIF(Fight_Cards!$J$2:$J$30,A31)</f>
        <v>1</v>
      </c>
      <c r="L31" s="3"/>
    </row>
    <row r="32" customFormat="false" ht="15" hidden="false" customHeight="false" outlineLevel="0" collapsed="false">
      <c r="A32" s="2" t="s">
        <v>89</v>
      </c>
      <c r="B32" s="2" t="s">
        <v>90</v>
      </c>
      <c r="C32" s="2" t="s">
        <v>60</v>
      </c>
      <c r="D32" s="2" t="s">
        <v>54</v>
      </c>
      <c r="E32" s="2" t="s">
        <v>16</v>
      </c>
      <c r="F32" s="3"/>
      <c r="G32" s="2" t="n">
        <v>7</v>
      </c>
      <c r="H32" s="3"/>
      <c r="I32" s="3"/>
      <c r="J32" s="2" t="str">
        <f aca="false">IF(H32="","Missing",IF(RIGHT(LOWER(TRIM(H32)),4)=".png","Linked","Check: not a .png link"))</f>
        <v>Missing</v>
      </c>
      <c r="K32" s="2" t="n">
        <f aca="false">COUNTIF(Fight_Cards!$F$2:$F$30,A32)+COUNTIF(Fight_Cards!$J$2:$J$30,A32)</f>
        <v>1</v>
      </c>
      <c r="L32" s="3"/>
    </row>
    <row r="33" customFormat="false" ht="15" hidden="false" customHeight="false" outlineLevel="0" collapsed="false">
      <c r="A33" s="2" t="s">
        <v>91</v>
      </c>
      <c r="B33" s="2" t="s">
        <v>92</v>
      </c>
      <c r="C33" s="2" t="s">
        <v>60</v>
      </c>
      <c r="D33" s="2" t="s">
        <v>93</v>
      </c>
      <c r="E33" s="2" t="s">
        <v>16</v>
      </c>
      <c r="F33" s="3"/>
      <c r="G33" s="2" t="n">
        <v>41</v>
      </c>
      <c r="H33" s="3"/>
      <c r="I33" s="3"/>
      <c r="J33" s="2" t="str">
        <f aca="false">IF(H33="","Missing",IF(RIGHT(LOWER(TRIM(H33)),4)=".png","Linked","Check: not a .png link"))</f>
        <v>Missing</v>
      </c>
      <c r="K33" s="2" t="n">
        <f aca="false">COUNTIF(Fight_Cards!$F$2:$F$30,A33)+COUNTIF(Fight_Cards!$J$2:$J$30,A33)</f>
        <v>1</v>
      </c>
      <c r="L33" s="3"/>
    </row>
    <row r="34" customFormat="false" ht="15" hidden="false" customHeight="false" outlineLevel="0" collapsed="false">
      <c r="A34" s="2" t="s">
        <v>94</v>
      </c>
      <c r="B34" s="2" t="s">
        <v>95</v>
      </c>
      <c r="C34" s="2" t="s">
        <v>60</v>
      </c>
      <c r="D34" s="2" t="s">
        <v>93</v>
      </c>
      <c r="E34" s="2" t="s">
        <v>27</v>
      </c>
      <c r="F34" s="3"/>
      <c r="G34" s="2" t="n">
        <v>64</v>
      </c>
      <c r="H34" s="3"/>
      <c r="I34" s="3"/>
      <c r="J34" s="2" t="str">
        <f aca="false">IF(H34="","Missing",IF(RIGHT(LOWER(TRIM(H34)),4)=".png","Linked","Check: not a .png link"))</f>
        <v>Missing</v>
      </c>
      <c r="K34" s="2" t="n">
        <f aca="false">COUNTIF(Fight_Cards!$F$2:$F$30,A34)+COUNTIF(Fight_Cards!$J$2:$J$30,A34)</f>
        <v>1</v>
      </c>
      <c r="L34" s="3"/>
    </row>
    <row r="35" customFormat="false" ht="15" hidden="false" customHeight="false" outlineLevel="0" collapsed="false">
      <c r="A35" s="2" t="s">
        <v>96</v>
      </c>
      <c r="B35" s="2" t="s">
        <v>97</v>
      </c>
      <c r="C35" s="2" t="s">
        <v>60</v>
      </c>
      <c r="D35" s="2" t="s">
        <v>93</v>
      </c>
      <c r="E35" s="2" t="s">
        <v>23</v>
      </c>
      <c r="F35" s="3"/>
      <c r="G35" s="2" t="n">
        <v>46</v>
      </c>
      <c r="H35" s="3"/>
      <c r="I35" s="3"/>
      <c r="J35" s="2" t="str">
        <f aca="false">IF(H35="","Missing",IF(RIGHT(LOWER(TRIM(H35)),4)=".png","Linked","Check: not a .png link"))</f>
        <v>Missing</v>
      </c>
      <c r="K35" s="2" t="n">
        <f aca="false">COUNTIF(Fight_Cards!$F$2:$F$30,A35)+COUNTIF(Fight_Cards!$J$2:$J$30,A35)</f>
        <v>1</v>
      </c>
      <c r="L35" s="3"/>
    </row>
    <row r="36" customFormat="false" ht="15" hidden="false" customHeight="false" outlineLevel="0" collapsed="false">
      <c r="A36" s="2" t="s">
        <v>98</v>
      </c>
      <c r="B36" s="2" t="s">
        <v>99</v>
      </c>
      <c r="C36" s="2" t="s">
        <v>60</v>
      </c>
      <c r="D36" s="2" t="s">
        <v>93</v>
      </c>
      <c r="E36" s="2" t="s">
        <v>23</v>
      </c>
      <c r="F36" s="3"/>
      <c r="G36" s="2" t="n">
        <v>31</v>
      </c>
      <c r="H36" s="3"/>
      <c r="I36" s="3"/>
      <c r="J36" s="2" t="str">
        <f aca="false">IF(H36="","Missing",IF(RIGHT(LOWER(TRIM(H36)),4)=".png","Linked","Check: not a .png link"))</f>
        <v>Missing</v>
      </c>
      <c r="K36" s="2" t="n">
        <f aca="false">COUNTIF(Fight_Cards!$F$2:$F$30,A36)+COUNTIF(Fight_Cards!$J$2:$J$30,A36)</f>
        <v>1</v>
      </c>
      <c r="L36" s="3"/>
    </row>
    <row r="37" customFormat="false" ht="15" hidden="false" customHeight="false" outlineLevel="0" collapsed="false">
      <c r="A37" s="2" t="s">
        <v>100</v>
      </c>
      <c r="B37" s="2" t="s">
        <v>101</v>
      </c>
      <c r="C37" s="2" t="s">
        <v>60</v>
      </c>
      <c r="D37" s="2" t="s">
        <v>102</v>
      </c>
      <c r="E37" s="2" t="s">
        <v>23</v>
      </c>
      <c r="F37" s="3"/>
      <c r="G37" s="2" t="n">
        <v>13</v>
      </c>
      <c r="H37" s="3"/>
      <c r="I37" s="3"/>
      <c r="J37" s="2" t="str">
        <f aca="false">IF(H37="","Missing",IF(RIGHT(LOWER(TRIM(H37)),4)=".png","Linked","Check: not a .png link"))</f>
        <v>Missing</v>
      </c>
      <c r="K37" s="2" t="n">
        <f aca="false">COUNTIF(Fight_Cards!$F$2:$F$30,A37)+COUNTIF(Fight_Cards!$J$2:$J$30,A37)</f>
        <v>1</v>
      </c>
      <c r="L37" s="3"/>
    </row>
    <row r="38" customFormat="false" ht="15" hidden="false" customHeight="false" outlineLevel="0" collapsed="false">
      <c r="A38" s="2" t="s">
        <v>103</v>
      </c>
      <c r="B38" s="2" t="s">
        <v>104</v>
      </c>
      <c r="C38" s="2" t="s">
        <v>105</v>
      </c>
      <c r="D38" s="2" t="s">
        <v>61</v>
      </c>
      <c r="E38" s="2" t="s">
        <v>27</v>
      </c>
      <c r="F38" s="3"/>
      <c r="G38" s="2" t="n">
        <v>37</v>
      </c>
      <c r="H38" s="3"/>
      <c r="I38" s="3"/>
      <c r="J38" s="2" t="str">
        <f aca="false">IF(H38="","Missing",IF(RIGHT(LOWER(TRIM(H38)),4)=".png","Linked","Check: not a .png link"))</f>
        <v>Missing</v>
      </c>
      <c r="K38" s="2" t="n">
        <f aca="false">COUNTIF(Fight_Cards!$F$2:$F$30,A38)+COUNTIF(Fight_Cards!$J$2:$J$30,A38)</f>
        <v>1</v>
      </c>
      <c r="L38" s="3"/>
    </row>
    <row r="39" customFormat="false" ht="15" hidden="false" customHeight="false" outlineLevel="0" collapsed="false">
      <c r="A39" s="2" t="s">
        <v>106</v>
      </c>
      <c r="B39" s="2" t="s">
        <v>63</v>
      </c>
      <c r="C39" s="2" t="s">
        <v>105</v>
      </c>
      <c r="D39" s="2" t="s">
        <v>15</v>
      </c>
      <c r="E39" s="2" t="s">
        <v>27</v>
      </c>
      <c r="F39" s="3"/>
      <c r="G39" s="2" t="n">
        <v>42</v>
      </c>
      <c r="H39" s="3"/>
      <c r="I39" s="3"/>
      <c r="J39" s="2" t="str">
        <f aca="false">IF(H39="","Missing",IF(RIGHT(LOWER(TRIM(H39)),4)=".png","Linked","Check: not a .png link"))</f>
        <v>Missing</v>
      </c>
      <c r="K39" s="2" t="n">
        <f aca="false">COUNTIF(Fight_Cards!$F$2:$F$30,A39)+COUNTIF(Fight_Cards!$J$2:$J$30,A39)</f>
        <v>1</v>
      </c>
      <c r="L39" s="3"/>
    </row>
    <row r="40" customFormat="false" ht="15" hidden="false" customHeight="false" outlineLevel="0" collapsed="false">
      <c r="A40" s="2" t="s">
        <v>107</v>
      </c>
      <c r="B40" s="2" t="s">
        <v>108</v>
      </c>
      <c r="C40" s="2" t="s">
        <v>105</v>
      </c>
      <c r="D40" s="2" t="s">
        <v>26</v>
      </c>
      <c r="E40" s="2" t="s">
        <v>20</v>
      </c>
      <c r="F40" s="3"/>
      <c r="G40" s="2" t="n">
        <v>27</v>
      </c>
      <c r="H40" s="3"/>
      <c r="I40" s="3"/>
      <c r="J40" s="2" t="str">
        <f aca="false">IF(H40="","Missing",IF(RIGHT(LOWER(TRIM(H40)),4)=".png","Linked","Check: not a .png link"))</f>
        <v>Missing</v>
      </c>
      <c r="K40" s="2" t="n">
        <f aca="false">COUNTIF(Fight_Cards!$F$2:$F$30,A40)+COUNTIF(Fight_Cards!$J$2:$J$30,A40)</f>
        <v>1</v>
      </c>
      <c r="L40" s="3"/>
    </row>
    <row r="41" customFormat="false" ht="15" hidden="false" customHeight="false" outlineLevel="0" collapsed="false">
      <c r="A41" s="2" t="s">
        <v>109</v>
      </c>
      <c r="B41" s="2" t="s">
        <v>110</v>
      </c>
      <c r="C41" s="2" t="s">
        <v>105</v>
      </c>
      <c r="D41" s="2" t="s">
        <v>66</v>
      </c>
      <c r="E41" s="2" t="s">
        <v>20</v>
      </c>
      <c r="F41" s="3"/>
      <c r="G41" s="2" t="n">
        <v>164</v>
      </c>
      <c r="H41" s="3"/>
      <c r="I41" s="3"/>
      <c r="J41" s="2" t="str">
        <f aca="false">IF(H41="","Missing",IF(RIGHT(LOWER(TRIM(H41)),4)=".png","Linked","Check: not a .png link"))</f>
        <v>Missing</v>
      </c>
      <c r="K41" s="2" t="n">
        <f aca="false">COUNTIF(Fight_Cards!$F$2:$F$30,A41)+COUNTIF(Fight_Cards!$J$2:$J$30,A41)</f>
        <v>1</v>
      </c>
      <c r="L41" s="3"/>
    </row>
    <row r="42" customFormat="false" ht="15" hidden="false" customHeight="false" outlineLevel="0" collapsed="false">
      <c r="A42" s="2" t="s">
        <v>111</v>
      </c>
      <c r="B42" s="2" t="s">
        <v>18</v>
      </c>
      <c r="C42" s="2" t="s">
        <v>105</v>
      </c>
      <c r="D42" s="2" t="s">
        <v>35</v>
      </c>
      <c r="E42" s="2" t="s">
        <v>20</v>
      </c>
      <c r="F42" s="3"/>
      <c r="G42" s="2" t="n">
        <v>158</v>
      </c>
      <c r="H42" s="3"/>
      <c r="I42" s="3"/>
      <c r="J42" s="2" t="str">
        <f aca="false">IF(H42="","Missing",IF(RIGHT(LOWER(TRIM(H42)),4)=".png","Linked","Check: not a .png link"))</f>
        <v>Missing</v>
      </c>
      <c r="K42" s="2" t="n">
        <f aca="false">COUNTIF(Fight_Cards!$F$2:$F$30,A42)+COUNTIF(Fight_Cards!$J$2:$J$30,A42)</f>
        <v>1</v>
      </c>
      <c r="L42" s="3"/>
    </row>
    <row r="43" customFormat="false" ht="15" hidden="false" customHeight="false" outlineLevel="0" collapsed="false">
      <c r="A43" s="2" t="s">
        <v>112</v>
      </c>
      <c r="B43" s="2" t="s">
        <v>113</v>
      </c>
      <c r="C43" s="2" t="s">
        <v>105</v>
      </c>
      <c r="D43" s="2" t="s">
        <v>114</v>
      </c>
      <c r="E43" s="2" t="s">
        <v>23</v>
      </c>
      <c r="F43" s="3"/>
      <c r="G43" s="2" t="n">
        <v>9</v>
      </c>
      <c r="H43" s="3"/>
      <c r="I43" s="3"/>
      <c r="J43" s="2" t="str">
        <f aca="false">IF(H43="","Missing",IF(RIGHT(LOWER(TRIM(H43)),4)=".png","Linked","Check: not a .png link"))</f>
        <v>Missing</v>
      </c>
      <c r="K43" s="2" t="n">
        <f aca="false">COUNTIF(Fight_Cards!$F$2:$F$30,A43)+COUNTIF(Fight_Cards!$J$2:$J$30,A43)</f>
        <v>1</v>
      </c>
      <c r="L43" s="3"/>
    </row>
    <row r="44" customFormat="false" ht="15" hidden="false" customHeight="false" outlineLevel="0" collapsed="false">
      <c r="A44" s="2" t="s">
        <v>115</v>
      </c>
      <c r="B44" s="2" t="s">
        <v>116</v>
      </c>
      <c r="C44" s="2" t="s">
        <v>105</v>
      </c>
      <c r="D44" s="2" t="s">
        <v>117</v>
      </c>
      <c r="E44" s="2" t="s">
        <v>16</v>
      </c>
      <c r="F44" s="3"/>
      <c r="G44" s="2" t="n">
        <v>5</v>
      </c>
      <c r="H44" s="3"/>
      <c r="I44" s="3"/>
      <c r="J44" s="2" t="str">
        <f aca="false">IF(H44="","Missing",IF(RIGHT(LOWER(TRIM(H44)),4)=".png","Linked","Check: not a .png link"))</f>
        <v>Missing</v>
      </c>
      <c r="K44" s="2" t="n">
        <f aca="false">COUNTIF(Fight_Cards!$F$2:$F$30,A44)+COUNTIF(Fight_Cards!$J$2:$J$30,A44)</f>
        <v>1</v>
      </c>
      <c r="L44" s="3"/>
    </row>
    <row r="45" customFormat="false" ht="15" hidden="false" customHeight="false" outlineLevel="0" collapsed="false">
      <c r="A45" s="2" t="s">
        <v>118</v>
      </c>
      <c r="B45" s="2" t="s">
        <v>119</v>
      </c>
      <c r="C45" s="2" t="s">
        <v>105</v>
      </c>
      <c r="D45" s="2" t="s">
        <v>102</v>
      </c>
      <c r="E45" s="2" t="s">
        <v>16</v>
      </c>
      <c r="F45" s="3"/>
      <c r="G45" s="2" t="n">
        <v>25</v>
      </c>
      <c r="H45" s="3"/>
      <c r="I45" s="3"/>
      <c r="J45" s="2" t="str">
        <f aca="false">IF(H45="","Missing",IF(RIGHT(LOWER(TRIM(H45)),4)=".png","Linked","Check: not a .png link"))</f>
        <v>Missing</v>
      </c>
      <c r="K45" s="2" t="n">
        <f aca="false">COUNTIF(Fight_Cards!$F$2:$F$30,A45)+COUNTIF(Fight_Cards!$J$2:$J$30,A45)</f>
        <v>1</v>
      </c>
      <c r="L45" s="3"/>
    </row>
    <row r="46" customFormat="false" ht="15" hidden="false" customHeight="false" outlineLevel="0" collapsed="false">
      <c r="A46" s="2" t="s">
        <v>120</v>
      </c>
      <c r="B46" s="2" t="s">
        <v>68</v>
      </c>
      <c r="C46" s="2" t="s">
        <v>121</v>
      </c>
      <c r="D46" s="2" t="s">
        <v>66</v>
      </c>
      <c r="E46" s="2" t="s">
        <v>23</v>
      </c>
      <c r="F46" s="3"/>
      <c r="G46" s="2" t="n">
        <v>94</v>
      </c>
      <c r="H46" s="3"/>
      <c r="I46" s="3"/>
      <c r="J46" s="2" t="str">
        <f aca="false">IF(H46="","Missing",IF(RIGHT(LOWER(TRIM(H46)),4)=".png","Linked","Check: not a .png link"))</f>
        <v>Missing</v>
      </c>
      <c r="K46" s="2" t="n">
        <f aca="false">COUNTIF(Fight_Cards!$F$2:$F$30,A46)+COUNTIF(Fight_Cards!$J$2:$J$30,A46)</f>
        <v>1</v>
      </c>
      <c r="L46" s="3"/>
    </row>
    <row r="47" customFormat="false" ht="15" hidden="false" customHeight="false" outlineLevel="0" collapsed="false">
      <c r="A47" s="2" t="s">
        <v>122</v>
      </c>
      <c r="B47" s="2" t="s">
        <v>123</v>
      </c>
      <c r="C47" s="2" t="s">
        <v>121</v>
      </c>
      <c r="D47" s="2" t="s">
        <v>66</v>
      </c>
      <c r="E47" s="2" t="s">
        <v>16</v>
      </c>
      <c r="F47" s="3"/>
      <c r="G47" s="2" t="n">
        <v>71</v>
      </c>
      <c r="H47" s="3"/>
      <c r="I47" s="3"/>
      <c r="J47" s="2" t="str">
        <f aca="false">IF(H47="","Missing",IF(RIGHT(LOWER(TRIM(H47)),4)=".png","Linked","Check: not a .png link"))</f>
        <v>Missing</v>
      </c>
      <c r="K47" s="2" t="n">
        <f aca="false">COUNTIF(Fight_Cards!$F$2:$F$30,A47)+COUNTIF(Fight_Cards!$J$2:$J$30,A47)</f>
        <v>1</v>
      </c>
      <c r="L47" s="3"/>
    </row>
    <row r="48" customFormat="false" ht="15" hidden="false" customHeight="false" outlineLevel="0" collapsed="false">
      <c r="A48" s="2" t="s">
        <v>124</v>
      </c>
      <c r="B48" s="2" t="s">
        <v>125</v>
      </c>
      <c r="C48" s="2" t="s">
        <v>121</v>
      </c>
      <c r="D48" s="2" t="s">
        <v>35</v>
      </c>
      <c r="E48" s="2" t="s">
        <v>20</v>
      </c>
      <c r="F48" s="3"/>
      <c r="G48" s="2" t="n">
        <v>33</v>
      </c>
      <c r="H48" s="3"/>
      <c r="I48" s="3"/>
      <c r="J48" s="2" t="str">
        <f aca="false">IF(H48="","Missing",IF(RIGHT(LOWER(TRIM(H48)),4)=".png","Linked","Check: not a .png link"))</f>
        <v>Missing</v>
      </c>
      <c r="K48" s="2" t="n">
        <f aca="false">COUNTIF(Fight_Cards!$F$2:$F$30,A48)+COUNTIF(Fight_Cards!$J$2:$J$30,A48)</f>
        <v>1</v>
      </c>
      <c r="L48" s="3"/>
    </row>
    <row r="49" customFormat="false" ht="15" hidden="false" customHeight="false" outlineLevel="0" collapsed="false">
      <c r="A49" s="2" t="s">
        <v>126</v>
      </c>
      <c r="B49" s="2" t="s">
        <v>97</v>
      </c>
      <c r="C49" s="2" t="s">
        <v>121</v>
      </c>
      <c r="D49" s="2" t="s">
        <v>93</v>
      </c>
      <c r="E49" s="2" t="s">
        <v>23</v>
      </c>
      <c r="F49" s="3"/>
      <c r="G49" s="2" t="n">
        <v>46</v>
      </c>
      <c r="H49" s="3"/>
      <c r="I49" s="3"/>
      <c r="J49" s="2" t="str">
        <f aca="false">IF(H49="","Missing",IF(RIGHT(LOWER(TRIM(H49)),4)=".png","Linked","Check: not a .png link"))</f>
        <v>Missing</v>
      </c>
      <c r="K49" s="2" t="n">
        <f aca="false">COUNTIF(Fight_Cards!$F$2:$F$30,A49)+COUNTIF(Fight_Cards!$J$2:$J$30,A49)</f>
        <v>1</v>
      </c>
      <c r="L49" s="3"/>
    </row>
    <row r="50" customFormat="false" ht="15" hidden="false" customHeight="false" outlineLevel="0" collapsed="false">
      <c r="A50" s="2" t="s">
        <v>127</v>
      </c>
      <c r="B50" s="2" t="s">
        <v>128</v>
      </c>
      <c r="C50" s="2" t="s">
        <v>129</v>
      </c>
      <c r="D50" s="2" t="s">
        <v>130</v>
      </c>
      <c r="E50" s="2" t="s">
        <v>20</v>
      </c>
      <c r="F50" s="3"/>
      <c r="G50" s="2" t="n">
        <v>17</v>
      </c>
      <c r="H50" s="3"/>
      <c r="I50" s="3"/>
      <c r="J50" s="2" t="str">
        <f aca="false">IF(H50="","Missing",IF(RIGHT(LOWER(TRIM(H50)),4)=".png","Linked","Check: not a .png link"))</f>
        <v>Missing</v>
      </c>
      <c r="K50" s="2" t="n">
        <f aca="false">COUNTIF(Fight_Cards!$F$2:$F$30,A50)+COUNTIF(Fight_Cards!$J$2:$J$30,A50)</f>
        <v>1</v>
      </c>
      <c r="L50" s="3"/>
    </row>
    <row r="51" customFormat="false" ht="15" hidden="false" customHeight="false" outlineLevel="0" collapsed="false">
      <c r="A51" s="2" t="s">
        <v>131</v>
      </c>
      <c r="B51" s="2" t="s">
        <v>132</v>
      </c>
      <c r="C51" s="2" t="s">
        <v>129</v>
      </c>
      <c r="D51" s="2" t="s">
        <v>61</v>
      </c>
      <c r="E51" s="2" t="s">
        <v>16</v>
      </c>
      <c r="F51" s="3"/>
      <c r="G51" s="2" t="n">
        <v>11</v>
      </c>
      <c r="H51" s="3"/>
      <c r="I51" s="3"/>
      <c r="J51" s="2" t="str">
        <f aca="false">IF(H51="","Missing",IF(RIGHT(LOWER(TRIM(H51)),4)=".png","Linked","Check: not a .png link"))</f>
        <v>Missing</v>
      </c>
      <c r="K51" s="2" t="n">
        <f aca="false">COUNTIF(Fight_Cards!$F$2:$F$30,A51)+COUNTIF(Fight_Cards!$J$2:$J$30,A51)</f>
        <v>1</v>
      </c>
      <c r="L51" s="3"/>
    </row>
    <row r="52" customFormat="false" ht="15" hidden="false" customHeight="false" outlineLevel="0" collapsed="false">
      <c r="A52" s="2" t="s">
        <v>133</v>
      </c>
      <c r="B52" s="2" t="s">
        <v>134</v>
      </c>
      <c r="C52" s="2" t="s">
        <v>129</v>
      </c>
      <c r="D52" s="2" t="s">
        <v>135</v>
      </c>
      <c r="E52" s="2" t="s">
        <v>23</v>
      </c>
      <c r="F52" s="3"/>
      <c r="G52" s="2" t="n">
        <v>67</v>
      </c>
      <c r="H52" s="3"/>
      <c r="I52" s="3"/>
      <c r="J52" s="2" t="str">
        <f aca="false">IF(H52="","Missing",IF(RIGHT(LOWER(TRIM(H52)),4)=".png","Linked","Check: not a .png link"))</f>
        <v>Missing</v>
      </c>
      <c r="K52" s="2" t="n">
        <f aca="false">COUNTIF(Fight_Cards!$F$2:$F$30,A52)+COUNTIF(Fight_Cards!$J$2:$J$30,A52)</f>
        <v>1</v>
      </c>
      <c r="L52" s="3"/>
    </row>
    <row r="53" customFormat="false" ht="15" hidden="false" customHeight="false" outlineLevel="0" collapsed="false">
      <c r="A53" s="2" t="s">
        <v>136</v>
      </c>
      <c r="B53" s="2" t="s">
        <v>137</v>
      </c>
      <c r="C53" s="2" t="s">
        <v>129</v>
      </c>
      <c r="D53" s="2" t="s">
        <v>15</v>
      </c>
      <c r="E53" s="2" t="s">
        <v>16</v>
      </c>
      <c r="F53" s="3"/>
      <c r="G53" s="2" t="n">
        <v>33</v>
      </c>
      <c r="H53" s="3"/>
      <c r="I53" s="3"/>
      <c r="J53" s="2" t="str">
        <f aca="false">IF(H53="","Missing",IF(RIGHT(LOWER(TRIM(H53)),4)=".png","Linked","Check: not a .png link"))</f>
        <v>Missing</v>
      </c>
      <c r="K53" s="2" t="n">
        <f aca="false">COUNTIF(Fight_Cards!$F$2:$F$30,A53)+COUNTIF(Fight_Cards!$J$2:$J$30,A53)</f>
        <v>1</v>
      </c>
      <c r="L53" s="3"/>
    </row>
    <row r="54" customFormat="false" ht="15" hidden="false" customHeight="false" outlineLevel="0" collapsed="false">
      <c r="A54" s="2" t="s">
        <v>138</v>
      </c>
      <c r="B54" s="2" t="s">
        <v>139</v>
      </c>
      <c r="C54" s="2" t="s">
        <v>129</v>
      </c>
      <c r="D54" s="2" t="s">
        <v>66</v>
      </c>
      <c r="E54" s="2" t="s">
        <v>27</v>
      </c>
      <c r="F54" s="3"/>
      <c r="G54" s="2" t="n">
        <v>35</v>
      </c>
      <c r="H54" s="3"/>
      <c r="I54" s="3"/>
      <c r="J54" s="2" t="str">
        <f aca="false">IF(H54="","Missing",IF(RIGHT(LOWER(TRIM(H54)),4)=".png","Linked","Check: not a .png link"))</f>
        <v>Missing</v>
      </c>
      <c r="K54" s="2" t="n">
        <f aca="false">COUNTIF(Fight_Cards!$F$2:$F$30,A54)+COUNTIF(Fight_Cards!$J$2:$J$30,A54)</f>
        <v>1</v>
      </c>
      <c r="L54" s="3"/>
    </row>
    <row r="55" customFormat="false" ht="15" hidden="false" customHeight="false" outlineLevel="0" collapsed="false">
      <c r="A55" s="2" t="s">
        <v>140</v>
      </c>
      <c r="B55" s="2" t="s">
        <v>141</v>
      </c>
      <c r="C55" s="2" t="s">
        <v>129</v>
      </c>
      <c r="D55" s="2" t="s">
        <v>142</v>
      </c>
      <c r="E55" s="2" t="s">
        <v>20</v>
      </c>
      <c r="F55" s="3"/>
      <c r="G55" s="2" t="n">
        <v>13</v>
      </c>
      <c r="H55" s="3"/>
      <c r="I55" s="3"/>
      <c r="J55" s="2" t="str">
        <f aca="false">IF(H55="","Missing",IF(RIGHT(LOWER(TRIM(H55)),4)=".png","Linked","Check: not a .png link"))</f>
        <v>Missing</v>
      </c>
      <c r="K55" s="2" t="n">
        <f aca="false">COUNTIF(Fight_Cards!$F$2:$F$30,A55)+COUNTIF(Fight_Cards!$J$2:$J$30,A55)</f>
        <v>1</v>
      </c>
      <c r="L55" s="3"/>
    </row>
    <row r="56" customFormat="false" ht="15" hidden="false" customHeight="false" outlineLevel="0" collapsed="false">
      <c r="A56" s="2" t="s">
        <v>143</v>
      </c>
      <c r="B56" s="2" t="s">
        <v>144</v>
      </c>
      <c r="C56" s="2" t="s">
        <v>129</v>
      </c>
      <c r="D56" s="2" t="s">
        <v>145</v>
      </c>
      <c r="E56" s="2" t="s">
        <v>20</v>
      </c>
      <c r="F56" s="3"/>
      <c r="G56" s="2" t="n">
        <v>19</v>
      </c>
      <c r="H56" s="3"/>
      <c r="I56" s="3"/>
      <c r="J56" s="2" t="str">
        <f aca="false">IF(H56="","Missing",IF(RIGHT(LOWER(TRIM(H56)),4)=".png","Linked","Check: not a .png link"))</f>
        <v>Missing</v>
      </c>
      <c r="K56" s="2" t="n">
        <f aca="false">COUNTIF(Fight_Cards!$F$2:$F$30,A56)+COUNTIF(Fight_Cards!$J$2:$J$30,A56)</f>
        <v>1</v>
      </c>
      <c r="L56" s="3"/>
    </row>
    <row r="57" customFormat="false" ht="15" hidden="false" customHeight="false" outlineLevel="0" collapsed="false">
      <c r="A57" s="2" t="s">
        <v>146</v>
      </c>
      <c r="B57" s="2" t="s">
        <v>44</v>
      </c>
      <c r="C57" s="2" t="s">
        <v>129</v>
      </c>
      <c r="D57" s="2" t="s">
        <v>45</v>
      </c>
      <c r="E57" s="2" t="s">
        <v>20</v>
      </c>
      <c r="F57" s="3"/>
      <c r="G57" s="2" t="n">
        <v>45</v>
      </c>
      <c r="H57" s="3"/>
      <c r="I57" s="3"/>
      <c r="J57" s="2" t="str">
        <f aca="false">IF(H57="","Missing",IF(RIGHT(LOWER(TRIM(H57)),4)=".png","Linked","Check: not a .png link"))</f>
        <v>Missing</v>
      </c>
      <c r="K57" s="2" t="n">
        <f aca="false">COUNTIF(Fight_Cards!$F$2:$F$30,A57)+COUNTIF(Fight_Cards!$J$2:$J$30,A57)</f>
        <v>1</v>
      </c>
      <c r="L57" s="3"/>
    </row>
  </sheetData>
  <autoFilter ref="A1:L57"/>
  <conditionalFormatting sqref="J2:J57">
    <cfRule type="cellIs" priority="2" operator="equal" aboveAverage="0" equalAverage="0" bottom="0" percent="0" rank="0" text="" dxfId="6">
      <formula>"Linked"</formula>
    </cfRule>
    <cfRule type="cellIs" priority="3" operator="equal" aboveAverage="0" equalAverage="0" bottom="0" percent="0" rank="0" text="" dxfId="7">
      <formula>"Missing"</formula>
    </cfRule>
    <cfRule type="expression" priority="4" aboveAverage="0" equalAverage="0" bottom="0" percent="0" rank="0" text="" dxfId="8">
      <formula>LEFT(J2,5)="Check"</formula>
    </cfRule>
  </conditionalFormatting>
  <dataValidations count="1">
    <dataValidation allowBlank="true" error="Jersey number must be 0 to 99" errorStyle="stop" operator="between" showDropDown="false" showErrorMessage="true" showInputMessage="false" sqref="F2:F57" type="whole">
      <formula1>0</formula1>
      <formula2>99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9"/>
    <col collapsed="false" customWidth="true" hidden="false" outlineLevel="0" max="3" min="3" style="0" width="12"/>
    <col collapsed="false" customWidth="true" hidden="false" outlineLevel="0" max="4" min="4" style="0" width="22"/>
    <col collapsed="false" customWidth="true" hidden="false" outlineLevel="0" max="5" min="5" style="0" width="8"/>
    <col collapsed="false" customWidth="true" hidden="false" outlineLevel="0" max="6" min="6" style="0" width="34"/>
    <col collapsed="false" customWidth="true" hidden="false" outlineLevel="0" max="7" min="7" style="0" width="16"/>
    <col collapsed="false" customWidth="true" hidden="false" outlineLevel="0" max="8" min="8" style="0" width="22"/>
    <col collapsed="false" customWidth="true" hidden="false" outlineLevel="0" max="9" min="9" style="0" width="8"/>
    <col collapsed="false" customWidth="true" hidden="false" outlineLevel="0" max="10" min="10" style="0" width="34"/>
    <col collapsed="false" customWidth="true" hidden="false" outlineLevel="0" max="11" min="11" style="0" width="16"/>
    <col collapsed="false" customWidth="true" hidden="false" outlineLevel="0" max="12" min="12" style="0" width="14"/>
  </cols>
  <sheetData>
    <row r="1" customFormat="false" ht="23.85" hidden="false" customHeight="false" outlineLevel="0" collapsed="false">
      <c r="A1" s="1" t="s">
        <v>147</v>
      </c>
      <c r="B1" s="1" t="s">
        <v>2</v>
      </c>
      <c r="C1" s="1" t="s">
        <v>148</v>
      </c>
      <c r="D1" s="1" t="s">
        <v>149</v>
      </c>
      <c r="E1" s="1" t="s">
        <v>150</v>
      </c>
      <c r="F1" s="1" t="s">
        <v>151</v>
      </c>
      <c r="G1" s="1" t="s">
        <v>152</v>
      </c>
      <c r="H1" s="1" t="s">
        <v>153</v>
      </c>
      <c r="I1" s="1" t="s">
        <v>154</v>
      </c>
      <c r="J1" s="1" t="s">
        <v>155</v>
      </c>
      <c r="K1" s="1" t="s">
        <v>156</v>
      </c>
      <c r="L1" s="1" t="s">
        <v>157</v>
      </c>
    </row>
    <row r="2" customFormat="false" ht="15" hidden="false" customHeight="false" outlineLevel="0" collapsed="false">
      <c r="A2" s="2" t="s">
        <v>158</v>
      </c>
      <c r="B2" s="2" t="s">
        <v>14</v>
      </c>
      <c r="C2" s="4" t="n">
        <v>44683</v>
      </c>
      <c r="D2" s="2" t="s">
        <v>47</v>
      </c>
      <c r="E2" s="2" t="s">
        <v>45</v>
      </c>
      <c r="F2" s="2" t="s">
        <v>46</v>
      </c>
      <c r="G2" s="2" t="str">
        <f aca="false">INDEX(Cards!$J$2:$J$57,MATCH(F2,Cards!$A$2:$A$57,0))</f>
        <v>Missing</v>
      </c>
      <c r="H2" s="2" t="s">
        <v>53</v>
      </c>
      <c r="I2" s="2" t="s">
        <v>54</v>
      </c>
      <c r="J2" s="2" t="s">
        <v>52</v>
      </c>
      <c r="K2" s="2" t="str">
        <f aca="false">INDEX(Cards!$J$2:$J$57,MATCH(J2,Cards!$A$2:$A$57,0))</f>
        <v>Missing</v>
      </c>
      <c r="L2" s="2" t="str">
        <f aca="false">IF(AND(G2="Linked",K2="Linked"),"Yes","No")</f>
        <v>No</v>
      </c>
    </row>
    <row r="3" customFormat="false" ht="15" hidden="false" customHeight="false" outlineLevel="0" collapsed="false">
      <c r="A3" s="2" t="s">
        <v>159</v>
      </c>
      <c r="B3" s="2" t="s">
        <v>14</v>
      </c>
      <c r="C3" s="4" t="n">
        <v>44684</v>
      </c>
      <c r="D3" s="2" t="s">
        <v>32</v>
      </c>
      <c r="E3" s="2" t="s">
        <v>30</v>
      </c>
      <c r="F3" s="2" t="s">
        <v>31</v>
      </c>
      <c r="G3" s="2" t="str">
        <f aca="false">INDEX(Cards!$J$2:$J$57,MATCH(F3,Cards!$A$2:$A$57,0))</f>
        <v>Missing</v>
      </c>
      <c r="H3" s="2" t="s">
        <v>18</v>
      </c>
      <c r="I3" s="2" t="s">
        <v>19</v>
      </c>
      <c r="J3" s="2" t="s">
        <v>17</v>
      </c>
      <c r="K3" s="2" t="str">
        <f aca="false">INDEX(Cards!$J$2:$J$57,MATCH(J3,Cards!$A$2:$A$57,0))</f>
        <v>Missing</v>
      </c>
      <c r="L3" s="2" t="str">
        <f aca="false">IF(AND(G3="Linked",K3="Linked"),"Yes","No")</f>
        <v>No</v>
      </c>
    </row>
    <row r="4" customFormat="false" ht="15" hidden="false" customHeight="false" outlineLevel="0" collapsed="false">
      <c r="A4" s="2" t="s">
        <v>160</v>
      </c>
      <c r="B4" s="2" t="s">
        <v>14</v>
      </c>
      <c r="C4" s="4" t="n">
        <v>44684</v>
      </c>
      <c r="D4" s="2" t="s">
        <v>29</v>
      </c>
      <c r="E4" s="2" t="s">
        <v>30</v>
      </c>
      <c r="F4" s="2" t="s">
        <v>28</v>
      </c>
      <c r="G4" s="2" t="str">
        <f aca="false">INDEX(Cards!$J$2:$J$57,MATCH(F4,Cards!$A$2:$A$57,0))</f>
        <v>Missing</v>
      </c>
      <c r="H4" s="2" t="s">
        <v>22</v>
      </c>
      <c r="I4" s="2" t="s">
        <v>19</v>
      </c>
      <c r="J4" s="2" t="s">
        <v>21</v>
      </c>
      <c r="K4" s="2" t="str">
        <f aca="false">INDEX(Cards!$J$2:$J$57,MATCH(J4,Cards!$A$2:$A$57,0))</f>
        <v>Missing</v>
      </c>
      <c r="L4" s="2" t="str">
        <f aca="false">IF(AND(G4="Linked",K4="Linked"),"Yes","No")</f>
        <v>No</v>
      </c>
    </row>
    <row r="5" customFormat="false" ht="15" hidden="false" customHeight="false" outlineLevel="0" collapsed="false">
      <c r="A5" s="2" t="s">
        <v>161</v>
      </c>
      <c r="B5" s="2" t="s">
        <v>14</v>
      </c>
      <c r="C5" s="4" t="n">
        <v>44688</v>
      </c>
      <c r="D5" s="2" t="s">
        <v>18</v>
      </c>
      <c r="E5" s="2" t="s">
        <v>19</v>
      </c>
      <c r="F5" s="2" t="s">
        <v>17</v>
      </c>
      <c r="G5" s="2" t="str">
        <f aca="false">INDEX(Cards!$J$2:$J$57,MATCH(F5,Cards!$A$2:$A$57,0))</f>
        <v>Missing</v>
      </c>
      <c r="H5" s="2" t="s">
        <v>29</v>
      </c>
      <c r="I5" s="2" t="s">
        <v>30</v>
      </c>
      <c r="J5" s="2" t="s">
        <v>28</v>
      </c>
      <c r="K5" s="2" t="str">
        <f aca="false">INDEX(Cards!$J$2:$J$57,MATCH(J5,Cards!$A$2:$A$57,0))</f>
        <v>Missing</v>
      </c>
      <c r="L5" s="2" t="str">
        <f aca="false">IF(AND(G5="Linked",K5="Linked"),"Yes","No")</f>
        <v>No</v>
      </c>
    </row>
    <row r="6" customFormat="false" ht="15" hidden="false" customHeight="false" outlineLevel="0" collapsed="false">
      <c r="A6" s="2" t="s">
        <v>162</v>
      </c>
      <c r="B6" s="2" t="s">
        <v>14</v>
      </c>
      <c r="C6" s="4" t="n">
        <v>44692</v>
      </c>
      <c r="D6" s="2" t="s">
        <v>56</v>
      </c>
      <c r="E6" s="2" t="s">
        <v>57</v>
      </c>
      <c r="F6" s="2" t="s">
        <v>55</v>
      </c>
      <c r="G6" s="2" t="str">
        <f aca="false">INDEX(Cards!$J$2:$J$57,MATCH(F6,Cards!$A$2:$A$57,0))</f>
        <v>Missing</v>
      </c>
      <c r="H6" s="2" t="s">
        <v>34</v>
      </c>
      <c r="I6" s="2" t="s">
        <v>35</v>
      </c>
      <c r="J6" s="2" t="s">
        <v>33</v>
      </c>
      <c r="K6" s="2" t="str">
        <f aca="false">INDEX(Cards!$J$2:$J$57,MATCH(J6,Cards!$A$2:$A$57,0))</f>
        <v>Missing</v>
      </c>
      <c r="L6" s="2" t="str">
        <f aca="false">IF(AND(G6="Linked",K6="Linked"),"Yes","No")</f>
        <v>No</v>
      </c>
    </row>
    <row r="7" customFormat="false" ht="15" hidden="false" customHeight="false" outlineLevel="0" collapsed="false">
      <c r="A7" s="2" t="s">
        <v>163</v>
      </c>
      <c r="B7" s="2" t="s">
        <v>14</v>
      </c>
      <c r="C7" s="4" t="n">
        <v>44705</v>
      </c>
      <c r="D7" s="2" t="s">
        <v>13</v>
      </c>
      <c r="E7" s="2" t="s">
        <v>15</v>
      </c>
      <c r="F7" s="2" t="s">
        <v>12</v>
      </c>
      <c r="G7" s="2" t="str">
        <f aca="false">INDEX(Cards!$J$2:$J$57,MATCH(F7,Cards!$A$2:$A$57,0))</f>
        <v>Missing</v>
      </c>
      <c r="H7" s="2" t="s">
        <v>42</v>
      </c>
      <c r="I7" s="2" t="s">
        <v>38</v>
      </c>
      <c r="J7" s="2" t="s">
        <v>41</v>
      </c>
      <c r="K7" s="2" t="str">
        <f aca="false">INDEX(Cards!$J$2:$J$57,MATCH(J7,Cards!$A$2:$A$57,0))</f>
        <v>Missing</v>
      </c>
      <c r="L7" s="2" t="str">
        <f aca="false">IF(AND(G7="Linked",K7="Linked"),"Yes","No")</f>
        <v>No</v>
      </c>
    </row>
    <row r="8" customFormat="false" ht="15" hidden="false" customHeight="false" outlineLevel="0" collapsed="false">
      <c r="A8" s="2" t="s">
        <v>164</v>
      </c>
      <c r="B8" s="2" t="s">
        <v>14</v>
      </c>
      <c r="C8" s="4" t="n">
        <v>44719</v>
      </c>
      <c r="D8" s="2" t="s">
        <v>40</v>
      </c>
      <c r="E8" s="2" t="s">
        <v>38</v>
      </c>
      <c r="F8" s="2" t="s">
        <v>39</v>
      </c>
      <c r="G8" s="2" t="str">
        <f aca="false">INDEX(Cards!$J$2:$J$57,MATCH(F8,Cards!$A$2:$A$57,0))</f>
        <v>Missing</v>
      </c>
      <c r="H8" s="2" t="s">
        <v>44</v>
      </c>
      <c r="I8" s="2" t="s">
        <v>45</v>
      </c>
      <c r="J8" s="2" t="s">
        <v>43</v>
      </c>
      <c r="K8" s="2" t="str">
        <f aca="false">INDEX(Cards!$J$2:$J$57,MATCH(J8,Cards!$A$2:$A$57,0))</f>
        <v>Missing</v>
      </c>
      <c r="L8" s="2" t="str">
        <f aca="false">IF(AND(G8="Linked",K8="Linked"),"Yes","No")</f>
        <v>No</v>
      </c>
    </row>
    <row r="9" customFormat="false" ht="15" hidden="false" customHeight="false" outlineLevel="0" collapsed="false">
      <c r="A9" s="2" t="s">
        <v>165</v>
      </c>
      <c r="B9" s="2" t="s">
        <v>14</v>
      </c>
      <c r="C9" s="4" t="n">
        <v>44721</v>
      </c>
      <c r="D9" s="2" t="s">
        <v>51</v>
      </c>
      <c r="E9" s="2" t="s">
        <v>45</v>
      </c>
      <c r="F9" s="2" t="s">
        <v>50</v>
      </c>
      <c r="G9" s="2" t="str">
        <f aca="false">INDEX(Cards!$J$2:$J$57,MATCH(F9,Cards!$A$2:$A$57,0))</f>
        <v>Missing</v>
      </c>
      <c r="H9" s="2" t="s">
        <v>37</v>
      </c>
      <c r="I9" s="2" t="s">
        <v>38</v>
      </c>
      <c r="J9" s="2" t="s">
        <v>36</v>
      </c>
      <c r="K9" s="2" t="str">
        <f aca="false">INDEX(Cards!$J$2:$J$57,MATCH(J9,Cards!$A$2:$A$57,0))</f>
        <v>Missing</v>
      </c>
      <c r="L9" s="2" t="str">
        <f aca="false">IF(AND(G9="Linked",K9="Linked"),"Yes","No")</f>
        <v>No</v>
      </c>
    </row>
    <row r="10" customFormat="false" ht="15" hidden="false" customHeight="false" outlineLevel="0" collapsed="false">
      <c r="A10" s="2" t="s">
        <v>166</v>
      </c>
      <c r="B10" s="2" t="s">
        <v>14</v>
      </c>
      <c r="C10" s="4" t="n">
        <v>44732</v>
      </c>
      <c r="D10" s="2" t="s">
        <v>25</v>
      </c>
      <c r="E10" s="2" t="s">
        <v>26</v>
      </c>
      <c r="F10" s="2" t="s">
        <v>24</v>
      </c>
      <c r="G10" s="2" t="str">
        <f aca="false">INDEX(Cards!$J$2:$J$57,MATCH(F10,Cards!$A$2:$A$57,0))</f>
        <v>Missing</v>
      </c>
      <c r="H10" s="2" t="s">
        <v>49</v>
      </c>
      <c r="I10" s="2" t="s">
        <v>45</v>
      </c>
      <c r="J10" s="2" t="s">
        <v>48</v>
      </c>
      <c r="K10" s="2" t="str">
        <f aca="false">INDEX(Cards!$J$2:$J$57,MATCH(J10,Cards!$A$2:$A$57,0))</f>
        <v>Missing</v>
      </c>
      <c r="L10" s="2" t="str">
        <f aca="false">IF(AND(G10="Linked",K10="Linked"),"Yes","No")</f>
        <v>No</v>
      </c>
    </row>
    <row r="11" customFormat="false" ht="15" hidden="false" customHeight="false" outlineLevel="0" collapsed="false">
      <c r="A11" s="2" t="s">
        <v>167</v>
      </c>
      <c r="B11" s="2" t="s">
        <v>60</v>
      </c>
      <c r="C11" s="4" t="n">
        <v>45036</v>
      </c>
      <c r="D11" s="2" t="s">
        <v>83</v>
      </c>
      <c r="E11" s="2" t="s">
        <v>38</v>
      </c>
      <c r="F11" s="2" t="s">
        <v>82</v>
      </c>
      <c r="G11" s="2" t="str">
        <f aca="false">INDEX(Cards!$J$2:$J$57,MATCH(F11,Cards!$A$2:$A$57,0))</f>
        <v>Missing</v>
      </c>
      <c r="H11" s="2" t="s">
        <v>79</v>
      </c>
      <c r="I11" s="2" t="s">
        <v>75</v>
      </c>
      <c r="J11" s="2" t="s">
        <v>78</v>
      </c>
      <c r="K11" s="2" t="str">
        <f aca="false">INDEX(Cards!$J$2:$J$57,MATCH(J11,Cards!$A$2:$A$57,0))</f>
        <v>Missing</v>
      </c>
      <c r="L11" s="2" t="str">
        <f aca="false">IF(AND(G11="Linked",K11="Linked"),"Yes","No")</f>
        <v>No</v>
      </c>
    </row>
    <row r="12" customFormat="false" ht="15" hidden="false" customHeight="false" outlineLevel="0" collapsed="false">
      <c r="A12" s="2" t="s">
        <v>168</v>
      </c>
      <c r="B12" s="2" t="s">
        <v>60</v>
      </c>
      <c r="C12" s="4" t="n">
        <v>45038</v>
      </c>
      <c r="D12" s="2" t="s">
        <v>90</v>
      </c>
      <c r="E12" s="2" t="s">
        <v>54</v>
      </c>
      <c r="F12" s="2" t="s">
        <v>89</v>
      </c>
      <c r="G12" s="2" t="str">
        <f aca="false">INDEX(Cards!$J$2:$J$57,MATCH(F12,Cards!$A$2:$A$57,0))</f>
        <v>Missing</v>
      </c>
      <c r="H12" s="2" t="s">
        <v>85</v>
      </c>
      <c r="I12" s="2" t="s">
        <v>45</v>
      </c>
      <c r="J12" s="2" t="s">
        <v>84</v>
      </c>
      <c r="K12" s="2" t="str">
        <f aca="false">INDEX(Cards!$J$2:$J$57,MATCH(J12,Cards!$A$2:$A$57,0))</f>
        <v>Missing</v>
      </c>
      <c r="L12" s="2" t="str">
        <f aca="false">IF(AND(G12="Linked",K12="Linked"),"Yes","No")</f>
        <v>No</v>
      </c>
    </row>
    <row r="13" customFormat="false" ht="15" hidden="false" customHeight="false" outlineLevel="0" collapsed="false">
      <c r="A13" s="2" t="s">
        <v>169</v>
      </c>
      <c r="B13" s="2" t="s">
        <v>60</v>
      </c>
      <c r="C13" s="4" t="n">
        <v>45038</v>
      </c>
      <c r="D13" s="2" t="s">
        <v>88</v>
      </c>
      <c r="E13" s="2" t="s">
        <v>54</v>
      </c>
      <c r="F13" s="2" t="s">
        <v>87</v>
      </c>
      <c r="G13" s="2" t="str">
        <f aca="false">INDEX(Cards!$J$2:$J$57,MATCH(F13,Cards!$A$2:$A$57,0))</f>
        <v>Missing</v>
      </c>
      <c r="H13" s="2" t="s">
        <v>51</v>
      </c>
      <c r="I13" s="2" t="s">
        <v>45</v>
      </c>
      <c r="J13" s="2" t="s">
        <v>86</v>
      </c>
      <c r="K13" s="2" t="str">
        <f aca="false">INDEX(Cards!$J$2:$J$57,MATCH(J13,Cards!$A$2:$A$57,0))</f>
        <v>Missing</v>
      </c>
      <c r="L13" s="2" t="str">
        <f aca="false">IF(AND(G13="Linked",K13="Linked"),"Yes","No")</f>
        <v>No</v>
      </c>
    </row>
    <row r="14" customFormat="false" ht="15" hidden="false" customHeight="false" outlineLevel="0" collapsed="false">
      <c r="A14" s="2" t="s">
        <v>170</v>
      </c>
      <c r="B14" s="2" t="s">
        <v>60</v>
      </c>
      <c r="C14" s="4" t="n">
        <v>45038</v>
      </c>
      <c r="D14" s="2" t="s">
        <v>95</v>
      </c>
      <c r="E14" s="2" t="s">
        <v>93</v>
      </c>
      <c r="F14" s="2" t="s">
        <v>94</v>
      </c>
      <c r="G14" s="2" t="str">
        <f aca="false">INDEX(Cards!$J$2:$J$57,MATCH(F14,Cards!$A$2:$A$57,0))</f>
        <v>Missing</v>
      </c>
      <c r="H14" s="2" t="s">
        <v>101</v>
      </c>
      <c r="I14" s="2" t="s">
        <v>102</v>
      </c>
      <c r="J14" s="2" t="s">
        <v>100</v>
      </c>
      <c r="K14" s="2" t="str">
        <f aca="false">INDEX(Cards!$J$2:$J$57,MATCH(J14,Cards!$A$2:$A$57,0))</f>
        <v>Missing</v>
      </c>
      <c r="L14" s="2" t="str">
        <f aca="false">IF(AND(G14="Linked",K14="Linked"),"Yes","No")</f>
        <v>No</v>
      </c>
    </row>
    <row r="15" customFormat="false" ht="15" hidden="false" customHeight="false" outlineLevel="0" collapsed="false">
      <c r="A15" s="2" t="s">
        <v>171</v>
      </c>
      <c r="B15" s="2" t="s">
        <v>60</v>
      </c>
      <c r="C15" s="4" t="n">
        <v>45039</v>
      </c>
      <c r="D15" s="2" t="s">
        <v>59</v>
      </c>
      <c r="E15" s="2" t="s">
        <v>61</v>
      </c>
      <c r="F15" s="2" t="s">
        <v>58</v>
      </c>
      <c r="G15" s="2" t="str">
        <f aca="false">INDEX(Cards!$J$2:$J$57,MATCH(F15,Cards!$A$2:$A$57,0))</f>
        <v>Missing</v>
      </c>
      <c r="H15" s="2" t="s">
        <v>72</v>
      </c>
      <c r="I15" s="2" t="s">
        <v>35</v>
      </c>
      <c r="J15" s="2" t="s">
        <v>71</v>
      </c>
      <c r="K15" s="2" t="str">
        <f aca="false">INDEX(Cards!$J$2:$J$57,MATCH(J15,Cards!$A$2:$A$57,0))</f>
        <v>Missing</v>
      </c>
      <c r="L15" s="2" t="str">
        <f aca="false">IF(AND(G15="Linked",K15="Linked"),"Yes","No")</f>
        <v>No</v>
      </c>
    </row>
    <row r="16" customFormat="false" ht="15" hidden="false" customHeight="false" outlineLevel="0" collapsed="false">
      <c r="A16" s="2" t="s">
        <v>172</v>
      </c>
      <c r="B16" s="2" t="s">
        <v>60</v>
      </c>
      <c r="C16" s="4" t="n">
        <v>45043</v>
      </c>
      <c r="D16" s="2" t="s">
        <v>81</v>
      </c>
      <c r="E16" s="2" t="s">
        <v>38</v>
      </c>
      <c r="F16" s="2" t="s">
        <v>80</v>
      </c>
      <c r="G16" s="2" t="str">
        <f aca="false">INDEX(Cards!$J$2:$J$57,MATCH(F16,Cards!$A$2:$A$57,0))</f>
        <v>Missing</v>
      </c>
      <c r="H16" s="2" t="s">
        <v>77</v>
      </c>
      <c r="I16" s="2" t="s">
        <v>75</v>
      </c>
      <c r="J16" s="2" t="s">
        <v>76</v>
      </c>
      <c r="K16" s="2" t="str">
        <f aca="false">INDEX(Cards!$J$2:$J$57,MATCH(J16,Cards!$A$2:$A$57,0))</f>
        <v>Missing</v>
      </c>
      <c r="L16" s="2" t="str">
        <f aca="false">IF(AND(G16="Linked",K16="Linked"),"Yes","No")</f>
        <v>No</v>
      </c>
    </row>
    <row r="17" customFormat="false" ht="15" hidden="false" customHeight="false" outlineLevel="0" collapsed="false">
      <c r="A17" s="2" t="s">
        <v>173</v>
      </c>
      <c r="B17" s="2" t="s">
        <v>60</v>
      </c>
      <c r="C17" s="4" t="n">
        <v>45052</v>
      </c>
      <c r="D17" s="2" t="s">
        <v>70</v>
      </c>
      <c r="E17" s="2" t="s">
        <v>66</v>
      </c>
      <c r="F17" s="2" t="s">
        <v>69</v>
      </c>
      <c r="G17" s="2" t="str">
        <f aca="false">INDEX(Cards!$J$2:$J$57,MATCH(F17,Cards!$A$2:$A$57,0))</f>
        <v>Missing</v>
      </c>
      <c r="H17" s="2" t="s">
        <v>99</v>
      </c>
      <c r="I17" s="2" t="s">
        <v>93</v>
      </c>
      <c r="J17" s="2" t="s">
        <v>98</v>
      </c>
      <c r="K17" s="2" t="str">
        <f aca="false">INDEX(Cards!$J$2:$J$57,MATCH(J17,Cards!$A$2:$A$57,0))</f>
        <v>Missing</v>
      </c>
      <c r="L17" s="2" t="str">
        <f aca="false">IF(AND(G17="Linked",K17="Linked"),"Yes","No")</f>
        <v>No</v>
      </c>
    </row>
    <row r="18" customFormat="false" ht="15" hidden="false" customHeight="false" outlineLevel="0" collapsed="false">
      <c r="A18" s="2" t="s">
        <v>174</v>
      </c>
      <c r="B18" s="2" t="s">
        <v>60</v>
      </c>
      <c r="C18" s="4" t="n">
        <v>45052</v>
      </c>
      <c r="D18" s="2" t="s">
        <v>65</v>
      </c>
      <c r="E18" s="2" t="s">
        <v>66</v>
      </c>
      <c r="F18" s="2" t="s">
        <v>64</v>
      </c>
      <c r="G18" s="2" t="str">
        <f aca="false">INDEX(Cards!$J$2:$J$57,MATCH(F18,Cards!$A$2:$A$57,0))</f>
        <v>Missing</v>
      </c>
      <c r="H18" s="2" t="s">
        <v>92</v>
      </c>
      <c r="I18" s="2" t="s">
        <v>93</v>
      </c>
      <c r="J18" s="2" t="s">
        <v>91</v>
      </c>
      <c r="K18" s="2" t="str">
        <f aca="false">INDEX(Cards!$J$2:$J$57,MATCH(J18,Cards!$A$2:$A$57,0))</f>
        <v>Missing</v>
      </c>
      <c r="L18" s="2" t="str">
        <f aca="false">IF(AND(G18="Linked",K18="Linked"),"Yes","No")</f>
        <v>No</v>
      </c>
    </row>
    <row r="19" customFormat="false" ht="15" hidden="false" customHeight="false" outlineLevel="0" collapsed="false">
      <c r="A19" s="2" t="s">
        <v>175</v>
      </c>
      <c r="B19" s="2" t="s">
        <v>60</v>
      </c>
      <c r="C19" s="4" t="n">
        <v>45053</v>
      </c>
      <c r="D19" s="2" t="s">
        <v>63</v>
      </c>
      <c r="E19" s="2" t="s">
        <v>15</v>
      </c>
      <c r="F19" s="2" t="s">
        <v>62</v>
      </c>
      <c r="G19" s="2" t="str">
        <f aca="false">INDEX(Cards!$J$2:$J$57,MATCH(F19,Cards!$A$2:$A$57,0))</f>
        <v>Missing</v>
      </c>
      <c r="H19" s="2" t="s">
        <v>74</v>
      </c>
      <c r="I19" s="2" t="s">
        <v>75</v>
      </c>
      <c r="J19" s="2" t="s">
        <v>73</v>
      </c>
      <c r="K19" s="2" t="str">
        <f aca="false">INDEX(Cards!$J$2:$J$57,MATCH(J19,Cards!$A$2:$A$57,0))</f>
        <v>Missing</v>
      </c>
      <c r="L19" s="2" t="str">
        <f aca="false">IF(AND(G19="Linked",K19="Linked"),"Yes","No")</f>
        <v>No</v>
      </c>
    </row>
    <row r="20" customFormat="false" ht="15" hidden="false" customHeight="false" outlineLevel="0" collapsed="false">
      <c r="A20" s="2" t="s">
        <v>176</v>
      </c>
      <c r="B20" s="2" t="s">
        <v>60</v>
      </c>
      <c r="C20" s="4" t="n">
        <v>45056</v>
      </c>
      <c r="D20" s="2" t="s">
        <v>97</v>
      </c>
      <c r="E20" s="2" t="s">
        <v>93</v>
      </c>
      <c r="F20" s="2" t="s">
        <v>96</v>
      </c>
      <c r="G20" s="2" t="str">
        <f aca="false">INDEX(Cards!$J$2:$J$57,MATCH(F20,Cards!$A$2:$A$57,0))</f>
        <v>Missing</v>
      </c>
      <c r="H20" s="2" t="s">
        <v>68</v>
      </c>
      <c r="I20" s="2" t="s">
        <v>66</v>
      </c>
      <c r="J20" s="2" t="s">
        <v>67</v>
      </c>
      <c r="K20" s="2" t="str">
        <f aca="false">INDEX(Cards!$J$2:$J$57,MATCH(J20,Cards!$A$2:$A$57,0))</f>
        <v>Missing</v>
      </c>
      <c r="L20" s="2" t="str">
        <f aca="false">IF(AND(G20="Linked",K20="Linked"),"Yes","No")</f>
        <v>No</v>
      </c>
    </row>
    <row r="21" customFormat="false" ht="15" hidden="false" customHeight="false" outlineLevel="0" collapsed="false">
      <c r="A21" s="2" t="s">
        <v>177</v>
      </c>
      <c r="B21" s="2" t="s">
        <v>105</v>
      </c>
      <c r="C21" s="4" t="n">
        <v>45404</v>
      </c>
      <c r="D21" s="2" t="s">
        <v>116</v>
      </c>
      <c r="E21" s="2" t="s">
        <v>117</v>
      </c>
      <c r="F21" s="2" t="s">
        <v>115</v>
      </c>
      <c r="G21" s="2" t="str">
        <f aca="false">INDEX(Cards!$J$2:$J$57,MATCH(F21,Cards!$A$2:$A$57,0))</f>
        <v>Missing</v>
      </c>
      <c r="H21" s="2" t="s">
        <v>63</v>
      </c>
      <c r="I21" s="2" t="s">
        <v>15</v>
      </c>
      <c r="J21" s="2" t="s">
        <v>106</v>
      </c>
      <c r="K21" s="2" t="str">
        <f aca="false">INDEX(Cards!$J$2:$J$57,MATCH(J21,Cards!$A$2:$A$57,0))</f>
        <v>Missing</v>
      </c>
      <c r="L21" s="2" t="str">
        <f aca="false">IF(AND(G21="Linked",K21="Linked"),"Yes","No")</f>
        <v>No</v>
      </c>
    </row>
    <row r="22" customFormat="false" ht="15" hidden="false" customHeight="false" outlineLevel="0" collapsed="false">
      <c r="A22" s="2" t="s">
        <v>178</v>
      </c>
      <c r="B22" s="2" t="s">
        <v>105</v>
      </c>
      <c r="C22" s="4" t="n">
        <v>45408</v>
      </c>
      <c r="D22" s="2" t="s">
        <v>110</v>
      </c>
      <c r="E22" s="2" t="s">
        <v>66</v>
      </c>
      <c r="F22" s="2" t="s">
        <v>109</v>
      </c>
      <c r="G22" s="2" t="str">
        <f aca="false">INDEX(Cards!$J$2:$J$57,MATCH(F22,Cards!$A$2:$A$57,0))</f>
        <v>Missing</v>
      </c>
      <c r="H22" s="2" t="s">
        <v>113</v>
      </c>
      <c r="I22" s="2" t="s">
        <v>114</v>
      </c>
      <c r="J22" s="2" t="s">
        <v>112</v>
      </c>
      <c r="K22" s="2" t="str">
        <f aca="false">INDEX(Cards!$J$2:$J$57,MATCH(J22,Cards!$A$2:$A$57,0))</f>
        <v>Missing</v>
      </c>
      <c r="L22" s="2" t="str">
        <f aca="false">IF(AND(G22="Linked",K22="Linked"),"Yes","No")</f>
        <v>No</v>
      </c>
    </row>
    <row r="23" customFormat="false" ht="15" hidden="false" customHeight="false" outlineLevel="0" collapsed="false">
      <c r="A23" s="2" t="s">
        <v>179</v>
      </c>
      <c r="B23" s="2" t="s">
        <v>105</v>
      </c>
      <c r="C23" s="4" t="n">
        <v>45408</v>
      </c>
      <c r="D23" s="2" t="s">
        <v>119</v>
      </c>
      <c r="E23" s="2" t="s">
        <v>102</v>
      </c>
      <c r="F23" s="2" t="s">
        <v>118</v>
      </c>
      <c r="G23" s="2" t="str">
        <f aca="false">INDEX(Cards!$J$2:$J$57,MATCH(F23,Cards!$A$2:$A$57,0))</f>
        <v>Missing</v>
      </c>
      <c r="H23" s="2" t="s">
        <v>108</v>
      </c>
      <c r="I23" s="2" t="s">
        <v>26</v>
      </c>
      <c r="J23" s="2" t="s">
        <v>107</v>
      </c>
      <c r="K23" s="2" t="str">
        <f aca="false">INDEX(Cards!$J$2:$J$57,MATCH(J23,Cards!$A$2:$A$57,0))</f>
        <v>Missing</v>
      </c>
      <c r="L23" s="2" t="str">
        <f aca="false">IF(AND(G23="Linked",K23="Linked"),"Yes","No")</f>
        <v>No</v>
      </c>
    </row>
    <row r="24" customFormat="false" ht="15" hidden="false" customHeight="false" outlineLevel="0" collapsed="false">
      <c r="A24" s="2" t="s">
        <v>180</v>
      </c>
      <c r="B24" s="2" t="s">
        <v>105</v>
      </c>
      <c r="C24" s="4" t="n">
        <v>45420</v>
      </c>
      <c r="D24" s="2" t="s">
        <v>104</v>
      </c>
      <c r="E24" s="2" t="s">
        <v>61</v>
      </c>
      <c r="F24" s="2" t="s">
        <v>103</v>
      </c>
      <c r="G24" s="2" t="str">
        <f aca="false">INDEX(Cards!$J$2:$J$57,MATCH(F24,Cards!$A$2:$A$57,0))</f>
        <v>Missing</v>
      </c>
      <c r="H24" s="2" t="s">
        <v>18</v>
      </c>
      <c r="I24" s="2" t="s">
        <v>35</v>
      </c>
      <c r="J24" s="2" t="s">
        <v>111</v>
      </c>
      <c r="K24" s="2" t="str">
        <f aca="false">INDEX(Cards!$J$2:$J$57,MATCH(J24,Cards!$A$2:$A$57,0))</f>
        <v>Missing</v>
      </c>
      <c r="L24" s="2" t="str">
        <f aca="false">IF(AND(G24="Linked",K24="Linked"),"Yes","No")</f>
        <v>No</v>
      </c>
    </row>
    <row r="25" customFormat="false" ht="15" hidden="false" customHeight="false" outlineLevel="0" collapsed="false">
      <c r="A25" s="2" t="s">
        <v>181</v>
      </c>
      <c r="B25" s="2" t="s">
        <v>121</v>
      </c>
      <c r="C25" s="4" t="n">
        <v>45789</v>
      </c>
      <c r="D25" s="2" t="s">
        <v>97</v>
      </c>
      <c r="E25" s="2" t="s">
        <v>93</v>
      </c>
      <c r="F25" s="2" t="s">
        <v>126</v>
      </c>
      <c r="G25" s="2" t="str">
        <f aca="false">INDEX(Cards!$J$2:$J$57,MATCH(F25,Cards!$A$2:$A$57,0))</f>
        <v>Missing</v>
      </c>
      <c r="H25" s="2" t="s">
        <v>123</v>
      </c>
      <c r="I25" s="2" t="s">
        <v>66</v>
      </c>
      <c r="J25" s="2" t="s">
        <v>122</v>
      </c>
      <c r="K25" s="2" t="str">
        <f aca="false">INDEX(Cards!$J$2:$J$57,MATCH(J25,Cards!$A$2:$A$57,0))</f>
        <v>Missing</v>
      </c>
      <c r="L25" s="2" t="str">
        <f aca="false">IF(AND(G25="Linked",K25="Linked"),"Yes","No")</f>
        <v>No</v>
      </c>
    </row>
    <row r="26" customFormat="false" ht="15" hidden="false" customHeight="false" outlineLevel="0" collapsed="false">
      <c r="A26" s="2" t="s">
        <v>182</v>
      </c>
      <c r="B26" s="2" t="s">
        <v>121</v>
      </c>
      <c r="C26" s="4" t="n">
        <v>45817</v>
      </c>
      <c r="D26" s="2" t="s">
        <v>68</v>
      </c>
      <c r="E26" s="2" t="s">
        <v>66</v>
      </c>
      <c r="F26" s="2" t="s">
        <v>120</v>
      </c>
      <c r="G26" s="2" t="str">
        <f aca="false">INDEX(Cards!$J$2:$J$57,MATCH(F26,Cards!$A$2:$A$57,0))</f>
        <v>Missing</v>
      </c>
      <c r="H26" s="2" t="s">
        <v>125</v>
      </c>
      <c r="I26" s="2" t="s">
        <v>35</v>
      </c>
      <c r="J26" s="2" t="s">
        <v>124</v>
      </c>
      <c r="K26" s="2" t="str">
        <f aca="false">INDEX(Cards!$J$2:$J$57,MATCH(J26,Cards!$A$2:$A$57,0))</f>
        <v>Missing</v>
      </c>
      <c r="L26" s="2" t="str">
        <f aca="false">IF(AND(G26="Linked",K26="Linked"),"Yes","No")</f>
        <v>No</v>
      </c>
    </row>
    <row r="27" customFormat="false" ht="15" hidden="false" customHeight="false" outlineLevel="0" collapsed="false">
      <c r="A27" s="2" t="s">
        <v>183</v>
      </c>
      <c r="B27" s="2" t="s">
        <v>129</v>
      </c>
      <c r="C27" s="4" t="n">
        <v>46130</v>
      </c>
      <c r="D27" s="2" t="s">
        <v>144</v>
      </c>
      <c r="E27" s="2" t="s">
        <v>145</v>
      </c>
      <c r="F27" s="2" t="s">
        <v>143</v>
      </c>
      <c r="G27" s="2" t="str">
        <f aca="false">INDEX(Cards!$J$2:$J$57,MATCH(F27,Cards!$A$2:$A$57,0))</f>
        <v>Missing</v>
      </c>
      <c r="H27" s="2" t="s">
        <v>137</v>
      </c>
      <c r="I27" s="2" t="s">
        <v>15</v>
      </c>
      <c r="J27" s="2" t="s">
        <v>136</v>
      </c>
      <c r="K27" s="2" t="str">
        <f aca="false">INDEX(Cards!$J$2:$J$57,MATCH(J27,Cards!$A$2:$A$57,0))</f>
        <v>Missing</v>
      </c>
      <c r="L27" s="2" t="str">
        <f aca="false">IF(AND(G27="Linked",K27="Linked"),"Yes","No")</f>
        <v>No</v>
      </c>
    </row>
    <row r="28" customFormat="false" ht="15" hidden="false" customHeight="false" outlineLevel="0" collapsed="false">
      <c r="A28" s="2" t="s">
        <v>184</v>
      </c>
      <c r="B28" s="2" t="s">
        <v>129</v>
      </c>
      <c r="C28" s="4" t="n">
        <v>46133</v>
      </c>
      <c r="D28" s="2" t="s">
        <v>132</v>
      </c>
      <c r="E28" s="2" t="s">
        <v>61</v>
      </c>
      <c r="F28" s="2" t="s">
        <v>131</v>
      </c>
      <c r="G28" s="2" t="str">
        <f aca="false">INDEX(Cards!$J$2:$J$57,MATCH(F28,Cards!$A$2:$A$57,0))</f>
        <v>Missing</v>
      </c>
      <c r="H28" s="2" t="s">
        <v>134</v>
      </c>
      <c r="I28" s="2" t="s">
        <v>135</v>
      </c>
      <c r="J28" s="2" t="s">
        <v>133</v>
      </c>
      <c r="K28" s="2" t="str">
        <f aca="false">INDEX(Cards!$J$2:$J$57,MATCH(J28,Cards!$A$2:$A$57,0))</f>
        <v>Missing</v>
      </c>
      <c r="L28" s="2" t="str">
        <f aca="false">IF(AND(G28="Linked",K28="Linked"),"Yes","No")</f>
        <v>No</v>
      </c>
    </row>
    <row r="29" customFormat="false" ht="15" hidden="false" customHeight="false" outlineLevel="0" collapsed="false">
      <c r="A29" s="2" t="s">
        <v>185</v>
      </c>
      <c r="B29" s="2" t="s">
        <v>129</v>
      </c>
      <c r="C29" s="4" t="n">
        <v>46133</v>
      </c>
      <c r="D29" s="2" t="s">
        <v>141</v>
      </c>
      <c r="E29" s="2" t="s">
        <v>142</v>
      </c>
      <c r="F29" s="2" t="s">
        <v>140</v>
      </c>
      <c r="G29" s="2" t="str">
        <f aca="false">INDEX(Cards!$J$2:$J$57,MATCH(F29,Cards!$A$2:$A$57,0))</f>
        <v>Missing</v>
      </c>
      <c r="H29" s="2" t="s">
        <v>44</v>
      </c>
      <c r="I29" s="2" t="s">
        <v>45</v>
      </c>
      <c r="J29" s="2" t="s">
        <v>146</v>
      </c>
      <c r="K29" s="2" t="str">
        <f aca="false">INDEX(Cards!$J$2:$J$57,MATCH(J29,Cards!$A$2:$A$57,0))</f>
        <v>Missing</v>
      </c>
      <c r="L29" s="2" t="str">
        <f aca="false">IF(AND(G29="Linked",K29="Linked"),"Yes","No")</f>
        <v>No</v>
      </c>
    </row>
    <row r="30" customFormat="false" ht="15" hidden="false" customHeight="false" outlineLevel="0" collapsed="false">
      <c r="A30" s="2" t="s">
        <v>186</v>
      </c>
      <c r="B30" s="2" t="s">
        <v>129</v>
      </c>
      <c r="C30" s="4" t="n">
        <v>46136</v>
      </c>
      <c r="D30" s="2" t="s">
        <v>139</v>
      </c>
      <c r="E30" s="2" t="s">
        <v>66</v>
      </c>
      <c r="F30" s="2" t="s">
        <v>138</v>
      </c>
      <c r="G30" s="2" t="str">
        <f aca="false">INDEX(Cards!$J$2:$J$57,MATCH(F30,Cards!$A$2:$A$57,0))</f>
        <v>Missing</v>
      </c>
      <c r="H30" s="2" t="s">
        <v>128</v>
      </c>
      <c r="I30" s="2" t="s">
        <v>130</v>
      </c>
      <c r="J30" s="2" t="s">
        <v>127</v>
      </c>
      <c r="K30" s="2" t="str">
        <f aca="false">INDEX(Cards!$J$2:$J$57,MATCH(J30,Cards!$A$2:$A$57,0))</f>
        <v>Missing</v>
      </c>
      <c r="L30" s="2" t="str">
        <f aca="false">IF(AND(G30="Linked",K30="Linked"),"Yes","No")</f>
        <v>No</v>
      </c>
    </row>
  </sheetData>
  <autoFilter ref="A1:L30"/>
  <conditionalFormatting sqref="G2:G30">
    <cfRule type="cellIs" priority="2" operator="equal" aboveAverage="0" equalAverage="0" bottom="0" percent="0" rank="0" text="" dxfId="6">
      <formula>"Linked"</formula>
    </cfRule>
    <cfRule type="cellIs" priority="3" operator="equal" aboveAverage="0" equalAverage="0" bottom="0" percent="0" rank="0" text="" dxfId="7">
      <formula>"Missing"</formula>
    </cfRule>
  </conditionalFormatting>
  <conditionalFormatting sqref="K2:K30">
    <cfRule type="cellIs" priority="4" operator="equal" aboveAverage="0" equalAverage="0" bottom="0" percent="0" rank="0" text="" dxfId="6">
      <formula>"Linked"</formula>
    </cfRule>
    <cfRule type="cellIs" priority="5" operator="equal" aboveAverage="0" equalAverage="0" bottom="0" percent="0" rank="0" text="" dxfId="7">
      <formula>"Missing"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  <col collapsed="false" customWidth="true" hidden="false" outlineLevel="0" max="2" min="2" style="0" width="10"/>
  </cols>
  <sheetData>
    <row r="1" customFormat="false" ht="15" hidden="false" customHeight="false" outlineLevel="0" collapsed="false">
      <c r="A1" s="5" t="s">
        <v>187</v>
      </c>
    </row>
    <row r="2" customFormat="false" ht="15" hidden="false" customHeight="false" outlineLevel="0" collapsed="false">
      <c r="A2" s="6" t="s">
        <v>188</v>
      </c>
    </row>
    <row r="3" customFormat="false" ht="23.85" hidden="false" customHeight="false" outlineLevel="0" collapsed="false">
      <c r="A3" s="6" t="s">
        <v>189</v>
      </c>
    </row>
    <row r="4" customFormat="false" ht="15" hidden="false" customHeight="false" outlineLevel="0" collapsed="false">
      <c r="A4" s="6" t="s">
        <v>190</v>
      </c>
    </row>
    <row r="5" customFormat="false" ht="15" hidden="false" customHeight="false" outlineLevel="0" collapsed="false">
      <c r="A5" s="6" t="s">
        <v>191</v>
      </c>
    </row>
    <row r="6" customFormat="false" ht="15" hidden="false" customHeight="false" outlineLevel="0" collapsed="false">
      <c r="A6" s="6"/>
    </row>
    <row r="7" customFormat="false" ht="15" hidden="false" customHeight="false" outlineLevel="0" collapsed="false">
      <c r="A7" s="5" t="s">
        <v>192</v>
      </c>
    </row>
    <row r="8" customFormat="false" ht="15" hidden="false" customHeight="false" outlineLevel="0" collapsed="false">
      <c r="A8" s="6" t="s">
        <v>193</v>
      </c>
    </row>
    <row r="9" customFormat="false" ht="23.85" hidden="false" customHeight="false" outlineLevel="0" collapsed="false">
      <c r="A9" s="6" t="s">
        <v>194</v>
      </c>
    </row>
    <row r="10" customFormat="false" ht="15" hidden="false" customHeight="false" outlineLevel="0" collapsed="false">
      <c r="A10" s="6" t="s">
        <v>195</v>
      </c>
    </row>
    <row r="11" customFormat="false" ht="15" hidden="false" customHeight="false" outlineLevel="0" collapsed="false">
      <c r="A11" s="6"/>
    </row>
    <row r="12" customFormat="false" ht="15" hidden="false" customHeight="false" outlineLevel="0" collapsed="false">
      <c r="A12" s="5" t="s">
        <v>196</v>
      </c>
    </row>
    <row r="13" customFormat="false" ht="15" hidden="false" customHeight="false" outlineLevel="0" collapsed="false">
      <c r="A13" s="6" t="s">
        <v>197</v>
      </c>
      <c r="B13" s="2" t="n">
        <f aca="false">COUNTA(Cards!A2:A57)</f>
        <v>56</v>
      </c>
    </row>
    <row r="14" customFormat="false" ht="15" hidden="false" customHeight="false" outlineLevel="0" collapsed="false">
      <c r="A14" s="6" t="s">
        <v>198</v>
      </c>
      <c r="B14" s="2" t="n">
        <f aca="false">COUNTIF(Cards!J2:J57,"Linked")</f>
        <v>0</v>
      </c>
    </row>
    <row r="15" customFormat="false" ht="15" hidden="false" customHeight="false" outlineLevel="0" collapsed="false">
      <c r="A15" s="6" t="s">
        <v>199</v>
      </c>
      <c r="B15" s="2" t="n">
        <f aca="false">COUNTIF(Cards!J2:J57,"Missing")</f>
        <v>56</v>
      </c>
    </row>
    <row r="16" customFormat="false" ht="15" hidden="false" customHeight="false" outlineLevel="0" collapsed="false">
      <c r="A16" s="6" t="s">
        <v>200</v>
      </c>
      <c r="B16" s="2" t="n">
        <f aca="false">COUNTIF(Fight_Cards!L2:L30,"Yes")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2026-10-21T00:43:34Z</dcterms:created>
  <dc:creator>openpyxl</dc:creator>
  <dc:description/>
  <dc:language>en-US</dc:language>
  <cp:lastModifiedBy/>
  <dcterms:modified xsi:type="dcterms:W3CDTF">2026-10-21T00:43:34Z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